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<sst xmlns="http://schemas.openxmlformats.org/spreadsheetml/2006/main" count="72" uniqueCount="43">
  <si>
    <t>Performance Evaluation (DIWAKAR)</t>
  </si>
  <si>
    <t>Performance Evaluation (SELF)</t>
  </si>
  <si>
    <r>
      <rPr>
        <rFont val="Arial"/>
        <b/>
        <color theme="1"/>
      </rPr>
      <t>Purpose</t>
    </r>
    <r>
      <rPr>
        <rFont val="Arial"/>
        <color theme="1"/>
      </rPr>
      <t>: To enable fair, structured and growth-oriented performance assessment through Self Evaluation, Manager Review and Project Controller Review.</t>
    </r>
  </si>
  <si>
    <r>
      <rPr>
        <rFont val="Arial"/>
        <b/>
        <color theme="1"/>
      </rPr>
      <t>Purpose</t>
    </r>
    <r>
      <rPr>
        <rFont val="Arial"/>
        <color theme="1"/>
      </rPr>
      <t>: To enable fair, structured and growth-oriented performance assessment through Self Evaluation, Manager Review and Project Controller Review.</t>
    </r>
  </si>
  <si>
    <t xml:space="preserve">Name of the Employee: Mridul </t>
  </si>
  <si>
    <t>Name of the Employee: Mridul Singh Bisht</t>
  </si>
  <si>
    <t>Department: Web Essentials</t>
  </si>
  <si>
    <t>Name of Reporting Manager:</t>
  </si>
  <si>
    <t xml:space="preserve">Name of Reporting Manager: </t>
  </si>
  <si>
    <t xml:space="preserve">Name of Project Controller: </t>
  </si>
  <si>
    <t>Setion A- 60% (10% each)</t>
  </si>
  <si>
    <t>Section A: Role Performance (KRA &amp; KPI)</t>
  </si>
  <si>
    <t>KPI</t>
  </si>
  <si>
    <t>Weighted Avg.</t>
  </si>
  <si>
    <t>Unacceptable</t>
  </si>
  <si>
    <t>Needs Improvement</t>
  </si>
  <si>
    <t>Meets Expectation</t>
  </si>
  <si>
    <t>Exceeds Expectation</t>
  </si>
  <si>
    <t>Outstanding</t>
  </si>
  <si>
    <t>Diwakar's score out of 5</t>
  </si>
  <si>
    <t>Self score out of 5</t>
  </si>
  <si>
    <t>(Parameter Weight × Final Rating) ÷ 5</t>
  </si>
  <si>
    <t>Project Delivery Efficiency</t>
  </si>
  <si>
    <t>Timeliness of task and module deliveries</t>
  </si>
  <si>
    <t>Technical Quality Score</t>
  </si>
  <si>
    <t>Functional accuracy and stability of implementations</t>
  </si>
  <si>
    <t>Client Feedback &amp; Collaboration</t>
  </si>
  <si>
    <t>Adherence to design, brand, and platform guidelines</t>
  </si>
  <si>
    <t>Team Mentorship &amp; Contribution</t>
  </si>
  <si>
    <t>Rework, bug recurrence, and revision frequency</t>
  </si>
  <si>
    <t>Cost and Resource Alignment</t>
  </si>
  <si>
    <t>Website performance, responsiveness, and compatibility</t>
  </si>
  <si>
    <t>Market Response Metrics</t>
  </si>
  <si>
    <t>Innovation contribution through research, suggestions, or improvements</t>
  </si>
  <si>
    <t>Total</t>
  </si>
  <si>
    <t>Section B: Workplace discipline and Execution effectiveness</t>
  </si>
  <si>
    <t>Parameter</t>
  </si>
  <si>
    <t>Task Closure &amp; Accountability</t>
  </si>
  <si>
    <t>Proactive Work Communication</t>
  </si>
  <si>
    <t>Adaptability &amp; Improvement Orientation</t>
  </si>
  <si>
    <t>Situational Handling &amp; Solution Orientation</t>
  </si>
  <si>
    <t>Workplace timings and Professional conduct</t>
  </si>
  <si>
    <t>Final Performance Score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</si>
</sst>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4.0"/>
      <color theme="1"/>
      <name val="Arial"/>
    </font>
    <font>
      <color theme="1"/>
      <name val="Arial"/>
    </font>
    <font>
      <b/>
      <color theme="1"/>
      <name val="Arial"/>
    </font>
    <font>
      <b/>
      <sz val="12.0"/>
      <color theme="1"/>
      <name val="Arial"/>
    </font>
    <font/>
    <font>
      <b/>
      <sz val="11.0"/>
      <color theme="1"/>
      <name val="Arial"/>
    </font>
    <font>
      <sz val="12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FFFF00"/>
        <bgColor rgb="FFFFFF00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shrinkToFit="0" vertical="bottom" wrapText="1"/>
    </xf>
    <xf borderId="0" fillId="0" fontId="3" numFmtId="0" xfId="0" applyAlignment="1" applyFont="1">
      <alignment vertical="bottom"/>
    </xf>
    <xf borderId="0" fillId="0" fontId="2" numFmtId="0" xfId="0" applyAlignment="1" applyFont="1">
      <alignment horizontal="center" shrinkToFit="0" vertical="bottom" wrapText="1"/>
    </xf>
    <xf borderId="1" fillId="3" fontId="4" numFmtId="0" xfId="0" applyAlignment="1" applyBorder="1" applyFill="1" applyFont="1">
      <alignment horizontal="center" vertical="bottom"/>
    </xf>
    <xf borderId="2" fillId="0" fontId="5" numFmtId="0" xfId="0" applyBorder="1" applyFont="1"/>
    <xf borderId="3" fillId="0" fontId="5" numFmtId="0" xfId="0" applyBorder="1" applyFont="1"/>
    <xf borderId="4" fillId="0" fontId="6" numFmtId="0" xfId="0" applyAlignment="1" applyBorder="1" applyFont="1">
      <alignment horizontal="center" vertical="bottom"/>
    </xf>
    <xf borderId="4" fillId="0" fontId="2" numFmtId="0" xfId="0" applyAlignment="1" applyBorder="1" applyFont="1">
      <alignment vertical="bottom"/>
    </xf>
    <xf borderId="4" fillId="0" fontId="3" numFmtId="0" xfId="0" applyAlignment="1" applyBorder="1" applyFont="1">
      <alignment horizontal="center" vertical="bottom"/>
    </xf>
    <xf borderId="0" fillId="0" fontId="2" numFmtId="0" xfId="0" applyAlignment="1" applyFont="1">
      <alignment horizontal="center" vertical="bottom"/>
    </xf>
    <xf borderId="4" fillId="0" fontId="3" numFmtId="0" xfId="0" applyAlignment="1" applyBorder="1" applyFont="1">
      <alignment horizontal="center" shrinkToFit="0" vertical="bottom" wrapText="1"/>
    </xf>
    <xf borderId="4" fillId="0" fontId="7" numFmtId="0" xfId="0" applyAlignment="1" applyBorder="1" applyFont="1">
      <alignment vertical="bottom"/>
    </xf>
    <xf borderId="4" fillId="0" fontId="2" numFmtId="0" xfId="0" applyAlignment="1" applyBorder="1" applyFont="1">
      <alignment horizontal="center"/>
    </xf>
    <xf borderId="4" fillId="0" fontId="2" numFmtId="0" xfId="0" applyAlignment="1" applyBorder="1" applyFont="1">
      <alignment horizontal="center" readingOrder="0"/>
    </xf>
    <xf borderId="4" fillId="0" fontId="7" numFmtId="0" xfId="0" applyAlignment="1" applyBorder="1" applyFont="1">
      <alignment shrinkToFit="0" vertical="bottom" wrapText="1"/>
    </xf>
    <xf borderId="0" fillId="0" fontId="3" numFmtId="0" xfId="0" applyAlignment="1" applyFont="1">
      <alignment horizontal="center" vertical="bottom"/>
    </xf>
    <xf borderId="1" fillId="2" fontId="4" numFmtId="0" xfId="0" applyAlignment="1" applyBorder="1" applyFont="1">
      <alignment horizontal="center" vertical="bottom"/>
    </xf>
    <xf borderId="4" fillId="0" fontId="2" numFmtId="0" xfId="0" applyAlignment="1" applyBorder="1" applyFont="1">
      <alignment horizontal="center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4" fontId="2" numFmtId="0" xfId="0" applyAlignment="1" applyFill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5"/>
    <col customWidth="1" min="8" max="8" width="18.75"/>
    <col customWidth="1" min="9" max="9" width="23.25"/>
    <col customWidth="1" min="16" max="16" width="19.88"/>
    <col customWidth="1" hidden="1" min="17" max="17" width="17.63"/>
  </cols>
  <sheetData>
    <row r="1">
      <c r="A1" s="1" t="s">
        <v>0</v>
      </c>
      <c r="H1" s="2"/>
      <c r="I1" s="1" t="s">
        <v>1</v>
      </c>
      <c r="P1" s="2"/>
      <c r="Q1" s="2"/>
      <c r="R1" s="2"/>
    </row>
    <row r="2">
      <c r="A2" s="3" t="s">
        <v>2</v>
      </c>
      <c r="H2" s="2"/>
      <c r="I2" s="3" t="s">
        <v>3</v>
      </c>
      <c r="P2" s="2"/>
      <c r="Q2" s="2"/>
      <c r="R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>
      <c r="A4" s="4" t="s">
        <v>4</v>
      </c>
      <c r="E4" s="2"/>
      <c r="F4" s="2"/>
      <c r="G4" s="2"/>
      <c r="H4" s="2"/>
      <c r="I4" s="4" t="s">
        <v>5</v>
      </c>
      <c r="M4" s="2"/>
      <c r="N4" s="2"/>
      <c r="O4" s="2"/>
      <c r="P4" s="2"/>
      <c r="Q4" s="2"/>
      <c r="R4" s="2"/>
    </row>
    <row r="5">
      <c r="A5" s="4" t="s">
        <v>6</v>
      </c>
      <c r="E5" s="2"/>
      <c r="F5" s="2"/>
      <c r="G5" s="2"/>
      <c r="H5" s="2"/>
      <c r="I5" s="4" t="s">
        <v>6</v>
      </c>
      <c r="M5" s="2"/>
      <c r="N5" s="2"/>
      <c r="O5" s="2"/>
      <c r="P5" s="2"/>
      <c r="Q5" s="2"/>
      <c r="R5" s="2"/>
    </row>
    <row r="6">
      <c r="A6" s="4" t="s">
        <v>7</v>
      </c>
      <c r="E6" s="2"/>
      <c r="F6" s="2"/>
      <c r="G6" s="2"/>
      <c r="H6" s="2"/>
      <c r="I6" s="4" t="s">
        <v>8</v>
      </c>
      <c r="M6" s="2"/>
      <c r="N6" s="2"/>
      <c r="O6" s="2"/>
      <c r="P6" s="2"/>
      <c r="Q6" s="2"/>
      <c r="R6" s="2"/>
    </row>
    <row r="7">
      <c r="A7" s="4" t="s">
        <v>9</v>
      </c>
      <c r="E7" s="2"/>
      <c r="F7" s="2"/>
      <c r="G7" s="2"/>
      <c r="H7" s="2"/>
      <c r="I7" s="4" t="s">
        <v>9</v>
      </c>
      <c r="M7" s="2"/>
      <c r="N7" s="2"/>
      <c r="O7" s="2"/>
      <c r="P7" s="2"/>
      <c r="Q7" s="2"/>
      <c r="R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5" t="s">
        <v>10</v>
      </c>
      <c r="R8" s="2"/>
    </row>
    <row r="9">
      <c r="A9" s="6" t="s">
        <v>11</v>
      </c>
      <c r="B9" s="7"/>
      <c r="C9" s="7"/>
      <c r="D9" s="7"/>
      <c r="E9" s="7"/>
      <c r="F9" s="7"/>
      <c r="G9" s="8"/>
      <c r="H9" s="2"/>
      <c r="I9" s="6" t="s">
        <v>11</v>
      </c>
      <c r="J9" s="7"/>
      <c r="K9" s="7"/>
      <c r="L9" s="7"/>
      <c r="M9" s="7"/>
      <c r="N9" s="7"/>
      <c r="O9" s="8"/>
      <c r="P9" s="2"/>
      <c r="Q9" s="2"/>
      <c r="R9" s="2"/>
    </row>
    <row r="10">
      <c r="A10" s="9" t="s">
        <v>12</v>
      </c>
      <c r="B10" s="10"/>
      <c r="C10" s="11">
        <v>1.0</v>
      </c>
      <c r="D10" s="11">
        <v>2.0</v>
      </c>
      <c r="E10" s="11">
        <v>3.0</v>
      </c>
      <c r="F10" s="11">
        <v>4.0</v>
      </c>
      <c r="G10" s="11">
        <v>5.0</v>
      </c>
      <c r="H10" s="2"/>
      <c r="I10" s="9" t="s">
        <v>12</v>
      </c>
      <c r="J10" s="10"/>
      <c r="K10" s="11">
        <v>1.0</v>
      </c>
      <c r="L10" s="11">
        <v>2.0</v>
      </c>
      <c r="M10" s="11">
        <v>3.0</v>
      </c>
      <c r="N10" s="11">
        <v>4.0</v>
      </c>
      <c r="O10" s="11">
        <v>5.0</v>
      </c>
      <c r="P10" s="2"/>
      <c r="Q10" s="12" t="s">
        <v>13</v>
      </c>
      <c r="R10" s="2"/>
    </row>
    <row r="11">
      <c r="A11" s="2"/>
      <c r="B11" s="10"/>
      <c r="C11" s="11" t="s">
        <v>14</v>
      </c>
      <c r="D11" s="13" t="s">
        <v>15</v>
      </c>
      <c r="E11" s="13" t="s">
        <v>16</v>
      </c>
      <c r="F11" s="13" t="s">
        <v>17</v>
      </c>
      <c r="G11" s="11" t="s">
        <v>18</v>
      </c>
      <c r="H11" s="12" t="s">
        <v>19</v>
      </c>
      <c r="I11" s="10"/>
      <c r="J11" s="10"/>
      <c r="K11" s="11" t="s">
        <v>14</v>
      </c>
      <c r="L11" s="13" t="s">
        <v>15</v>
      </c>
      <c r="M11" s="13" t="s">
        <v>16</v>
      </c>
      <c r="N11" s="13" t="s">
        <v>17</v>
      </c>
      <c r="O11" s="11" t="s">
        <v>18</v>
      </c>
      <c r="P11" s="12" t="s">
        <v>20</v>
      </c>
      <c r="Q11" s="5" t="s">
        <v>21</v>
      </c>
      <c r="R11" s="2"/>
    </row>
    <row r="12">
      <c r="A12" s="14" t="s">
        <v>22</v>
      </c>
      <c r="B12" s="10"/>
      <c r="C12" s="15" t="b">
        <v>0</v>
      </c>
      <c r="D12" s="16" t="b">
        <v>1</v>
      </c>
      <c r="E12" s="15" t="b">
        <v>0</v>
      </c>
      <c r="F12" s="16" t="b">
        <v>0</v>
      </c>
      <c r="G12" s="15" t="b">
        <v>0</v>
      </c>
      <c r="H12" s="12">
        <f t="shared" ref="H12:H17" si="1">IF(C12,1,0)+IF(D12,2,0)+IF(E12,3,0)+IF(F12,4,0)+IF(G12,5,0)</f>
        <v>2</v>
      </c>
      <c r="I12" s="17" t="s">
        <v>23</v>
      </c>
      <c r="J12" s="10"/>
      <c r="K12" s="15" t="b">
        <v>0</v>
      </c>
      <c r="L12" s="15" t="b">
        <v>0</v>
      </c>
      <c r="M12" s="15" t="b">
        <v>0</v>
      </c>
      <c r="N12" s="16" t="b">
        <v>1</v>
      </c>
      <c r="O12" s="16" t="b">
        <v>0</v>
      </c>
      <c r="P12" s="12">
        <f t="shared" ref="P12:P17" si="2">IF(K12,1,0)+IF(L12,2,0)+IF(M12,3,0)+IF(N12,4,0)+IF(O12,5,0)</f>
        <v>4</v>
      </c>
      <c r="Q12" s="12">
        <f t="shared" ref="Q12:Q17" si="3">(10*H12)/5</f>
        <v>4</v>
      </c>
      <c r="R12" s="2"/>
    </row>
    <row r="13">
      <c r="A13" s="14" t="s">
        <v>24</v>
      </c>
      <c r="B13" s="10"/>
      <c r="C13" s="15" t="b">
        <v>0</v>
      </c>
      <c r="D13" s="16" t="b">
        <v>1</v>
      </c>
      <c r="E13" s="15" t="b">
        <v>0</v>
      </c>
      <c r="F13" s="16" t="b">
        <v>0</v>
      </c>
      <c r="G13" s="16" t="b">
        <v>0</v>
      </c>
      <c r="H13" s="12">
        <f t="shared" si="1"/>
        <v>2</v>
      </c>
      <c r="I13" s="17" t="s">
        <v>25</v>
      </c>
      <c r="J13" s="10"/>
      <c r="K13" s="15" t="b">
        <v>0</v>
      </c>
      <c r="L13" s="15" t="b">
        <v>0</v>
      </c>
      <c r="M13" s="15" t="b">
        <v>0</v>
      </c>
      <c r="N13" s="16" t="b">
        <v>0</v>
      </c>
      <c r="O13" s="16" t="b">
        <v>1</v>
      </c>
      <c r="P13" s="12">
        <f t="shared" si="2"/>
        <v>5</v>
      </c>
      <c r="Q13" s="12">
        <f t="shared" si="3"/>
        <v>4</v>
      </c>
      <c r="R13" s="2"/>
    </row>
    <row r="14">
      <c r="A14" s="17" t="s">
        <v>26</v>
      </c>
      <c r="B14" s="10"/>
      <c r="C14" s="15" t="b">
        <v>0</v>
      </c>
      <c r="D14" s="15" t="b">
        <v>0</v>
      </c>
      <c r="E14" s="15" t="b">
        <v>0</v>
      </c>
      <c r="F14" s="16" t="b">
        <v>0</v>
      </c>
      <c r="G14" s="16" t="b">
        <v>1</v>
      </c>
      <c r="H14" s="12">
        <f t="shared" si="1"/>
        <v>5</v>
      </c>
      <c r="I14" s="17" t="s">
        <v>27</v>
      </c>
      <c r="J14" s="10"/>
      <c r="K14" s="15" t="b">
        <v>0</v>
      </c>
      <c r="L14" s="15" t="b">
        <v>0</v>
      </c>
      <c r="M14" s="15" t="b">
        <v>0</v>
      </c>
      <c r="N14" s="16" t="b">
        <v>0</v>
      </c>
      <c r="O14" s="16" t="b">
        <v>1</v>
      </c>
      <c r="P14" s="12">
        <f t="shared" si="2"/>
        <v>5</v>
      </c>
      <c r="Q14" s="12">
        <f t="shared" si="3"/>
        <v>10</v>
      </c>
      <c r="R14" s="2"/>
    </row>
    <row r="15">
      <c r="A15" s="17" t="s">
        <v>28</v>
      </c>
      <c r="B15" s="10"/>
      <c r="C15" s="15" t="b">
        <v>0</v>
      </c>
      <c r="D15" s="15" t="b">
        <v>0</v>
      </c>
      <c r="E15" s="15" t="b">
        <v>0</v>
      </c>
      <c r="F15" s="16" t="b">
        <v>0</v>
      </c>
      <c r="G15" s="16" t="b">
        <v>1</v>
      </c>
      <c r="H15" s="12">
        <f t="shared" si="1"/>
        <v>5</v>
      </c>
      <c r="I15" s="17" t="s">
        <v>29</v>
      </c>
      <c r="J15" s="10"/>
      <c r="K15" s="15" t="b">
        <v>0</v>
      </c>
      <c r="L15" s="15" t="b">
        <v>0</v>
      </c>
      <c r="M15" s="15" t="b">
        <v>0</v>
      </c>
      <c r="N15" s="16" t="b">
        <v>0</v>
      </c>
      <c r="O15" s="16" t="b">
        <v>1</v>
      </c>
      <c r="P15" s="12">
        <f t="shared" si="2"/>
        <v>5</v>
      </c>
      <c r="Q15" s="12">
        <f t="shared" si="3"/>
        <v>10</v>
      </c>
      <c r="R15" s="2"/>
    </row>
    <row r="16">
      <c r="A16" s="14" t="s">
        <v>30</v>
      </c>
      <c r="B16" s="10"/>
      <c r="C16" s="15" t="b">
        <v>0</v>
      </c>
      <c r="D16" s="15" t="b">
        <v>0</v>
      </c>
      <c r="E16" s="15" t="b">
        <v>0</v>
      </c>
      <c r="F16" s="15" t="b">
        <v>0</v>
      </c>
      <c r="G16" s="16" t="b">
        <v>1</v>
      </c>
      <c r="H16" s="12">
        <f t="shared" si="1"/>
        <v>5</v>
      </c>
      <c r="I16" s="17" t="s">
        <v>31</v>
      </c>
      <c r="J16" s="10"/>
      <c r="K16" s="15" t="b">
        <v>0</v>
      </c>
      <c r="L16" s="15" t="b">
        <v>0</v>
      </c>
      <c r="M16" s="16" t="b">
        <v>0</v>
      </c>
      <c r="N16" s="16" t="b">
        <v>0</v>
      </c>
      <c r="O16" s="16" t="b">
        <v>1</v>
      </c>
      <c r="P16" s="12">
        <f t="shared" si="2"/>
        <v>5</v>
      </c>
      <c r="Q16" s="12">
        <f t="shared" si="3"/>
        <v>10</v>
      </c>
      <c r="R16" s="2"/>
    </row>
    <row r="17">
      <c r="A17" s="14" t="s">
        <v>32</v>
      </c>
      <c r="B17" s="10"/>
      <c r="C17" s="15" t="b">
        <v>0</v>
      </c>
      <c r="D17" s="15" t="b">
        <v>0</v>
      </c>
      <c r="E17" s="15" t="b">
        <v>0</v>
      </c>
      <c r="F17" s="16" t="b">
        <v>1</v>
      </c>
      <c r="G17" s="16" t="b">
        <v>0</v>
      </c>
      <c r="H17" s="12">
        <f t="shared" si="1"/>
        <v>4</v>
      </c>
      <c r="I17" s="17" t="s">
        <v>33</v>
      </c>
      <c r="J17" s="10"/>
      <c r="K17" s="15" t="b">
        <v>0</v>
      </c>
      <c r="L17" s="15" t="b">
        <v>0</v>
      </c>
      <c r="M17" s="15" t="b">
        <v>0</v>
      </c>
      <c r="N17" s="15" t="b">
        <v>0</v>
      </c>
      <c r="O17" s="16" t="b">
        <v>1</v>
      </c>
      <c r="P17" s="12">
        <f t="shared" si="2"/>
        <v>5</v>
      </c>
      <c r="Q17" s="12">
        <f t="shared" si="3"/>
        <v>8</v>
      </c>
      <c r="R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18">
        <f>SUM(Q12:Q17)</f>
        <v>46</v>
      </c>
      <c r="R18" s="12" t="s">
        <v>34</v>
      </c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</row>
    <row r="20">
      <c r="A20" s="19" t="s">
        <v>35</v>
      </c>
      <c r="B20" s="7"/>
      <c r="C20" s="7"/>
      <c r="D20" s="7"/>
      <c r="E20" s="7"/>
      <c r="F20" s="7"/>
      <c r="G20" s="8"/>
      <c r="H20" s="2"/>
      <c r="I20" s="19" t="s">
        <v>35</v>
      </c>
      <c r="J20" s="7"/>
      <c r="K20" s="7"/>
      <c r="L20" s="7"/>
      <c r="M20" s="7"/>
      <c r="N20" s="7"/>
      <c r="O20" s="8"/>
      <c r="P20" s="2"/>
      <c r="Q20" s="2"/>
      <c r="R20" s="2"/>
    </row>
    <row r="21">
      <c r="A21" s="9" t="s">
        <v>36</v>
      </c>
      <c r="B21" s="10"/>
      <c r="C21" s="11">
        <v>1.0</v>
      </c>
      <c r="D21" s="11">
        <v>2.0</v>
      </c>
      <c r="E21" s="11">
        <v>3.0</v>
      </c>
      <c r="F21" s="11">
        <v>4.0</v>
      </c>
      <c r="G21" s="11">
        <v>5.0</v>
      </c>
      <c r="H21" s="2"/>
      <c r="I21" s="9" t="s">
        <v>36</v>
      </c>
      <c r="J21" s="10"/>
      <c r="K21" s="11">
        <v>1.0</v>
      </c>
      <c r="L21" s="11">
        <v>2.0</v>
      </c>
      <c r="M21" s="11">
        <v>3.0</v>
      </c>
      <c r="N21" s="11">
        <v>4.0</v>
      </c>
      <c r="O21" s="11">
        <v>5.0</v>
      </c>
      <c r="P21" s="2"/>
      <c r="Q21" s="2"/>
      <c r="R21" s="2"/>
    </row>
    <row r="22">
      <c r="A22" s="10"/>
      <c r="B22" s="10"/>
      <c r="C22" s="11" t="s">
        <v>14</v>
      </c>
      <c r="D22" s="13" t="s">
        <v>15</v>
      </c>
      <c r="E22" s="13" t="s">
        <v>16</v>
      </c>
      <c r="F22" s="13" t="s">
        <v>17</v>
      </c>
      <c r="G22" s="11" t="s">
        <v>18</v>
      </c>
      <c r="H22" s="12" t="s">
        <v>19</v>
      </c>
      <c r="I22" s="10"/>
      <c r="J22" s="10"/>
      <c r="K22" s="11" t="s">
        <v>14</v>
      </c>
      <c r="L22" s="13" t="s">
        <v>15</v>
      </c>
      <c r="M22" s="13" t="s">
        <v>16</v>
      </c>
      <c r="N22" s="13" t="s">
        <v>17</v>
      </c>
      <c r="O22" s="11" t="s">
        <v>18</v>
      </c>
      <c r="P22" s="12" t="s">
        <v>20</v>
      </c>
      <c r="Q22" s="2"/>
      <c r="R22" s="2"/>
    </row>
    <row r="23">
      <c r="A23" s="20" t="s">
        <v>37</v>
      </c>
      <c r="B23" s="10"/>
      <c r="C23" s="15" t="b">
        <v>0</v>
      </c>
      <c r="D23" s="15" t="b">
        <v>0</v>
      </c>
      <c r="E23" s="16" t="b">
        <v>1</v>
      </c>
      <c r="F23" s="16" t="b">
        <v>0</v>
      </c>
      <c r="G23" s="16" t="b">
        <v>0</v>
      </c>
      <c r="H23" s="12">
        <f t="shared" ref="H23:H27" si="4">IF(C23,1,0)+IF(D23,2,0)+IF(E23,3,0)+IF(F23,4,0)+IF(G23,5,0)</f>
        <v>3</v>
      </c>
      <c r="I23" s="20" t="s">
        <v>37</v>
      </c>
      <c r="J23" s="10"/>
      <c r="K23" s="15" t="b">
        <v>0</v>
      </c>
      <c r="L23" s="15" t="b">
        <v>0</v>
      </c>
      <c r="M23" s="15" t="b">
        <v>0</v>
      </c>
      <c r="N23" s="15" t="b">
        <v>0</v>
      </c>
      <c r="O23" s="16" t="b">
        <v>1</v>
      </c>
      <c r="P23" s="12">
        <f t="shared" ref="P23:P27" si="5">IF(K23,1,0)+IF(L23,2,0)+IF(M23,3,0)+IF(N23,4,0)+IF(O23,5,0)</f>
        <v>5</v>
      </c>
      <c r="Q23" s="12">
        <f t="shared" ref="Q23:Q27" si="6">(8*H23)/5</f>
        <v>4.8</v>
      </c>
      <c r="R23" s="2"/>
    </row>
    <row r="24">
      <c r="A24" s="20" t="s">
        <v>38</v>
      </c>
      <c r="B24" s="10"/>
      <c r="C24" s="15" t="b">
        <v>0</v>
      </c>
      <c r="D24" s="15" t="b">
        <v>0</v>
      </c>
      <c r="E24" s="15" t="b">
        <v>0</v>
      </c>
      <c r="F24" s="15" t="b">
        <v>0</v>
      </c>
      <c r="G24" s="16" t="b">
        <v>1</v>
      </c>
      <c r="H24" s="12">
        <f t="shared" si="4"/>
        <v>5</v>
      </c>
      <c r="I24" s="20" t="s">
        <v>38</v>
      </c>
      <c r="J24" s="10"/>
      <c r="K24" s="15" t="b">
        <v>0</v>
      </c>
      <c r="L24" s="15" t="b">
        <v>0</v>
      </c>
      <c r="M24" s="15" t="b">
        <v>0</v>
      </c>
      <c r="N24" s="15" t="b">
        <v>0</v>
      </c>
      <c r="O24" s="16" t="b">
        <v>1</v>
      </c>
      <c r="P24" s="12">
        <f t="shared" si="5"/>
        <v>5</v>
      </c>
      <c r="Q24" s="12">
        <f t="shared" si="6"/>
        <v>8</v>
      </c>
      <c r="R24" s="2"/>
    </row>
    <row r="25">
      <c r="A25" s="20" t="s">
        <v>39</v>
      </c>
      <c r="B25" s="10"/>
      <c r="C25" s="15" t="b">
        <v>0</v>
      </c>
      <c r="D25" s="15" t="b">
        <v>0</v>
      </c>
      <c r="E25" s="15" t="b">
        <v>0</v>
      </c>
      <c r="F25" s="16" t="b">
        <v>0</v>
      </c>
      <c r="G25" s="16" t="b">
        <v>1</v>
      </c>
      <c r="H25" s="12">
        <f t="shared" si="4"/>
        <v>5</v>
      </c>
      <c r="I25" s="20" t="s">
        <v>39</v>
      </c>
      <c r="J25" s="10"/>
      <c r="K25" s="15" t="b">
        <v>0</v>
      </c>
      <c r="L25" s="15" t="b">
        <v>0</v>
      </c>
      <c r="M25" s="15" t="b">
        <v>0</v>
      </c>
      <c r="N25" s="15" t="b">
        <v>0</v>
      </c>
      <c r="O25" s="16" t="b">
        <v>1</v>
      </c>
      <c r="P25" s="12">
        <f t="shared" si="5"/>
        <v>5</v>
      </c>
      <c r="Q25" s="12">
        <f t="shared" si="6"/>
        <v>8</v>
      </c>
      <c r="R25" s="2"/>
    </row>
    <row r="26">
      <c r="A26" s="20" t="s">
        <v>40</v>
      </c>
      <c r="B26" s="10"/>
      <c r="C26" s="15" t="b">
        <v>0</v>
      </c>
      <c r="D26" s="15" t="b">
        <v>0</v>
      </c>
      <c r="E26" s="15" t="b">
        <v>0</v>
      </c>
      <c r="F26" s="16" t="b">
        <v>0</v>
      </c>
      <c r="G26" s="16" t="b">
        <v>1</v>
      </c>
      <c r="H26" s="12">
        <f t="shared" si="4"/>
        <v>5</v>
      </c>
      <c r="I26" s="20" t="s">
        <v>40</v>
      </c>
      <c r="J26" s="10"/>
      <c r="K26" s="15" t="b">
        <v>0</v>
      </c>
      <c r="L26" s="15" t="b">
        <v>0</v>
      </c>
      <c r="M26" s="15" t="b">
        <v>0</v>
      </c>
      <c r="N26" s="15" t="b">
        <v>0</v>
      </c>
      <c r="O26" s="16" t="b">
        <v>1</v>
      </c>
      <c r="P26" s="12">
        <f t="shared" si="5"/>
        <v>5</v>
      </c>
      <c r="Q26" s="12">
        <f t="shared" si="6"/>
        <v>8</v>
      </c>
      <c r="R26" s="2"/>
    </row>
    <row r="27">
      <c r="A27" s="20" t="s">
        <v>41</v>
      </c>
      <c r="B27" s="10"/>
      <c r="C27" s="15" t="b">
        <v>0</v>
      </c>
      <c r="D27" s="15" t="b">
        <v>0</v>
      </c>
      <c r="E27" s="16" t="b">
        <v>1</v>
      </c>
      <c r="F27" s="16" t="b">
        <v>0</v>
      </c>
      <c r="G27" s="15" t="b">
        <v>0</v>
      </c>
      <c r="H27" s="12">
        <f t="shared" si="4"/>
        <v>3</v>
      </c>
      <c r="I27" s="20" t="s">
        <v>41</v>
      </c>
      <c r="J27" s="10"/>
      <c r="K27" s="15" t="b">
        <v>0</v>
      </c>
      <c r="L27" s="15" t="b">
        <v>0</v>
      </c>
      <c r="M27" s="15" t="b">
        <v>0</v>
      </c>
      <c r="N27" s="16" t="b">
        <v>0</v>
      </c>
      <c r="O27" s="16" t="b">
        <v>1</v>
      </c>
      <c r="P27" s="12">
        <f t="shared" si="5"/>
        <v>5</v>
      </c>
      <c r="Q27" s="12">
        <f t="shared" si="6"/>
        <v>4.8</v>
      </c>
      <c r="R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18">
        <f>SUM(Q23:Q27)</f>
        <v>33.6</v>
      </c>
      <c r="R28" s="12" t="s">
        <v>34</v>
      </c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1" t="s">
        <v>42</v>
      </c>
      <c r="Q29" s="2"/>
      <c r="R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5"/>
      <c r="Q30" s="22">
        <f>Q18+Q28</f>
        <v>79.6</v>
      </c>
      <c r="R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</row>
  </sheetData>
  <mergeCells count="16">
    <mergeCell ref="A5:D5"/>
    <mergeCell ref="A6:D6"/>
    <mergeCell ref="A7:D7"/>
    <mergeCell ref="A9:G9"/>
    <mergeCell ref="A20:G20"/>
    <mergeCell ref="I6:L6"/>
    <mergeCell ref="I7:L7"/>
    <mergeCell ref="I9:O9"/>
    <mergeCell ref="I20:O20"/>
    <mergeCell ref="A1:G1"/>
    <mergeCell ref="I1:O1"/>
    <mergeCell ref="A2:G2"/>
    <mergeCell ref="I2:O2"/>
    <mergeCell ref="A4:D4"/>
    <mergeCell ref="I4:L4"/>
    <mergeCell ref="I5:L5"/>
  </mergeCells>
  <drawing r:id="rId1"/>
</worksheet>
</file>