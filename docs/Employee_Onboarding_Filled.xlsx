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0746209-630B-4DB2-92CA-0ADB2D9DECF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Employee 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2" l="1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1" i="2"/>
  <c r="A10" i="2"/>
  <c r="A9" i="2"/>
  <c r="A8" i="2"/>
  <c r="A7" i="2"/>
  <c r="A6" i="2"/>
  <c r="A5" i="2"/>
  <c r="A4" i="2"/>
  <c r="A3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Your existing HR-system code (e.g. 132). Leave blank if you don't have one yet.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Your @digitallynext.com address</t>
        </r>
      </text>
    </comment>
    <comment ref="I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Format: DD-MM-YYYY</t>
        </r>
      </text>
    </comment>
    <comment ref="N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e.g. Junior Designer, Team Lead, Senior Manager</t>
        </r>
      </text>
    </comment>
    <comment ref="P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Format: DD-MM-YYYY</t>
        </r>
      </text>
    </comment>
    <comment ref="Q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e.g. Delhi HQ, Remote</t>
        </r>
      </text>
    </comment>
    <comment ref="W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Leave blank if same as current</t>
        </r>
      </text>
    </comment>
    <comment ref="AC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e.g. Spouse, Parent, Sibling</t>
        </r>
      </text>
    </comment>
  </commentList>
</comments>
</file>

<file path=xl/sharedStrings.xml><?xml version="1.0" encoding="utf-8"?>
<sst xmlns="http://schemas.openxmlformats.org/spreadsheetml/2006/main" count="290" uniqueCount="194">
  <si>
    <t>Employee Onboarding — Information Collection</t>
  </si>
  <si>
    <t/>
  </si>
  <si>
    <t>How to fill this sheet</t>
  </si>
  <si>
    <t>1. Open the "Employee Details" tab.</t>
  </si>
  <si>
    <t>2. Each row = one employee. Fill in one row for yourself.</t>
  </si>
  <si>
    <t>3. Columns with a dark-blue header are REQUIRED. Dark-grey headers are optional.</t>
  </si>
  <si>
    <t>4. Cells with a small red corner have a tooltip — hover for format hints.</t>
  </si>
  <si>
    <t>5. Dropdown columns (Gender, Blood Group, Department, Employment Type) restrict input — pick from the list.</t>
  </si>
  <si>
    <t>6. Dates must be in DD-MM-YYYY format (e.g. 14-08-1998).</t>
  </si>
  <si>
    <t>7. If your permanent address is the same as your current address, leave the permanent columns blank.</t>
  </si>
  <si>
    <t>Gmail App Password — DO NOT put it here</t>
  </si>
  <si>
    <t>Your Gmail App Password must NEVER be written into this sheet. Once admin creates your HRMS account, log in and set it via:</t>
  </si>
  <si>
    <t xml:space="preserve">      Profile → Security → Gmail App Password → Save</t>
  </si>
  <si>
    <t>It is stored encrypted on the server and is never shown back to anyone — including admins.</t>
  </si>
  <si>
    <t>What admin will fill on your behalf</t>
  </si>
  <si>
    <t>• Employee Number (auto-generated)</t>
  </si>
  <si>
    <t>• Manager assignment</t>
  </si>
  <si>
    <t>• Probation end date</t>
  </si>
  <si>
    <t>• Role &amp; permissions</t>
  </si>
  <si>
    <t>• Initial login password (will be shared with you privately)</t>
  </si>
  <si>
    <t>Questions?</t>
  </si>
  <si>
    <t>Contact HR at dndesignsbfg@gmail.com.</t>
  </si>
  <si>
    <t>Sl. No</t>
  </si>
  <si>
    <t>Employee Code</t>
  </si>
  <si>
    <t>First Name *</t>
  </si>
  <si>
    <t>Last Name *</t>
  </si>
  <si>
    <t>Work Email *</t>
  </si>
  <si>
    <t>Personal Email</t>
  </si>
  <si>
    <t>Work Phone</t>
  </si>
  <si>
    <t>Personal Phone</t>
  </si>
  <si>
    <t>Date of Birth</t>
  </si>
  <si>
    <t>Gender</t>
  </si>
  <si>
    <t>Nationality</t>
  </si>
  <si>
    <t>Blood Group</t>
  </si>
  <si>
    <t>Department</t>
  </si>
  <si>
    <t>Designation</t>
  </si>
  <si>
    <t>Employment Type</t>
  </si>
  <si>
    <t>Date of Joining</t>
  </si>
  <si>
    <t>Work Location</t>
  </si>
  <si>
    <t>Current Addr — Line 1</t>
  </si>
  <si>
    <t>Current Addr — Line 2</t>
  </si>
  <si>
    <t>Current City</t>
  </si>
  <si>
    <t>Current State</t>
  </si>
  <si>
    <t>Current ZIP</t>
  </si>
  <si>
    <t>Permanent Addr — Line 1</t>
  </si>
  <si>
    <t>Permanent Addr — Line 2</t>
  </si>
  <si>
    <t>Permanent City</t>
  </si>
  <si>
    <t>Permanent State</t>
  </si>
  <si>
    <t>Permanent ZIP</t>
  </si>
  <si>
    <t>Emergency Contact Name</t>
  </si>
  <si>
    <t>Emergency Contact Relation</t>
  </si>
  <si>
    <t>Emergency Contact Phone</t>
  </si>
  <si>
    <t>132</t>
  </si>
  <si>
    <t>Mridul</t>
  </si>
  <si>
    <t>Singh Bisht</t>
  </si>
  <si>
    <t>mridulsinghbisht1008@gmail.com</t>
  </si>
  <si>
    <t>10-08-2002</t>
  </si>
  <si>
    <t>Web Development</t>
  </si>
  <si>
    <t>Web Developer</t>
  </si>
  <si>
    <t>Full Time</t>
  </si>
  <si>
    <t>16-06-2025</t>
  </si>
  <si>
    <t>A-3/54 Kaushik Enclave</t>
  </si>
  <si>
    <t>Burari</t>
  </si>
  <si>
    <t>Delhi</t>
  </si>
  <si>
    <t>110084</t>
  </si>
  <si>
    <t>9318337612</t>
  </si>
  <si>
    <t>136</t>
  </si>
  <si>
    <t>Hemant</t>
  </si>
  <si>
    <t>nandalhemant03@gmail.com</t>
  </si>
  <si>
    <t>18-02-2003</t>
  </si>
  <si>
    <t>Design</t>
  </si>
  <si>
    <t>UI/UX Designer</t>
  </si>
  <si>
    <t>29-10-2025</t>
  </si>
  <si>
    <t>House no. 163, Street no. 5</t>
  </si>
  <si>
    <t>Sangam Vihar, Najafgarh</t>
  </si>
  <si>
    <t>New Delhi</t>
  </si>
  <si>
    <t>110043</t>
  </si>
  <si>
    <t>9871156057</t>
  </si>
  <si>
    <t>137</t>
  </si>
  <si>
    <t>Ayushi</t>
  </si>
  <si>
    <t>Pandey</t>
  </si>
  <si>
    <t>ayushipandey582@gmail.com</t>
  </si>
  <si>
    <t>06-12-2003</t>
  </si>
  <si>
    <t>Human Resources</t>
  </si>
  <si>
    <t>HR Executive</t>
  </si>
  <si>
    <t>01-12-2025</t>
  </si>
  <si>
    <t>WZ-42, A, Om Vihar</t>
  </si>
  <si>
    <t>Phase 2, Uttam Nagar</t>
  </si>
  <si>
    <t>110059</t>
  </si>
  <si>
    <t>9560450107</t>
  </si>
  <si>
    <t>Guruprasad</t>
  </si>
  <si>
    <t>dezinerguru42@gmail.com</t>
  </si>
  <si>
    <t>20-03-2002</t>
  </si>
  <si>
    <t>Video Production</t>
  </si>
  <si>
    <t>Video Editor</t>
  </si>
  <si>
    <t>03-12-2025</t>
  </si>
  <si>
    <t>9449525714</t>
  </si>
  <si>
    <t>Gavisha</t>
  </si>
  <si>
    <t>gavishadhonsiofficial@gmail.com</t>
  </si>
  <si>
    <t>01-11-1995</t>
  </si>
  <si>
    <t>6th Main Rd, Hal</t>
  </si>
  <si>
    <t>HAL 3rd Stage, New Tippasandra</t>
  </si>
  <si>
    <t>Bengaluru</t>
  </si>
  <si>
    <t>Karnataka</t>
  </si>
  <si>
    <t>560075</t>
  </si>
  <si>
    <t>5053 Prestige Sunrise Park</t>
  </si>
  <si>
    <t>Electronic City Phase I, Norwood</t>
  </si>
  <si>
    <t>560100</t>
  </si>
  <si>
    <t>8452052672</t>
  </si>
  <si>
    <t>143</t>
  </si>
  <si>
    <t>Teesha</t>
  </si>
  <si>
    <t>Jain</t>
  </si>
  <si>
    <t>teeshajain001@gmail.com</t>
  </si>
  <si>
    <t>01-07-2003</t>
  </si>
  <si>
    <t>Research</t>
  </si>
  <si>
    <t>Market Research Specialist</t>
  </si>
  <si>
    <t>05-01-2026</t>
  </si>
  <si>
    <t>22, Sukh Vihar</t>
  </si>
  <si>
    <t>Opposite Gagan Vihar</t>
  </si>
  <si>
    <t>East Delhi</t>
  </si>
  <si>
    <t>110051</t>
  </si>
  <si>
    <t>Father</t>
  </si>
  <si>
    <t>9625099487</t>
  </si>
  <si>
    <t>144</t>
  </si>
  <si>
    <t>Karan</t>
  </si>
  <si>
    <t>Joshi</t>
  </si>
  <si>
    <t>joshikaran.aad.0007@gmail.com</t>
  </si>
  <si>
    <t>12-08-2003</t>
  </si>
  <si>
    <t>Jr. Full Stack Developer</t>
  </si>
  <si>
    <t>23-02-2026</t>
  </si>
  <si>
    <t>House no. 113, Block D</t>
  </si>
  <si>
    <t>Khora Colony</t>
  </si>
  <si>
    <t>Ghaziabad</t>
  </si>
  <si>
    <t>Uttar Pradesh</t>
  </si>
  <si>
    <t>201001</t>
  </si>
  <si>
    <t>Sister</t>
  </si>
  <si>
    <t>9911728554</t>
  </si>
  <si>
    <t>145</t>
  </si>
  <si>
    <t>Diwakar</t>
  </si>
  <si>
    <t>Jha</t>
  </si>
  <si>
    <t>diwakarjha554@gmail.com</t>
  </si>
  <si>
    <t>House no. 406, Block J</t>
  </si>
  <si>
    <t>Arpan Vihar, Jaitpur</t>
  </si>
  <si>
    <t>Badarpur</t>
  </si>
  <si>
    <t>110044</t>
  </si>
  <si>
    <t>87000278406</t>
  </si>
  <si>
    <t>146</t>
  </si>
  <si>
    <t>Komal</t>
  </si>
  <si>
    <t>Gautam</t>
  </si>
  <si>
    <t>komalgoutam600@gmail.com</t>
  </si>
  <si>
    <t>Graphic Designer</t>
  </si>
  <si>
    <t>06-03-2026</t>
  </si>
  <si>
    <t>TC Camp 482</t>
  </si>
  <si>
    <t>Raghubir Nagar</t>
  </si>
  <si>
    <t>West Delhi</t>
  </si>
  <si>
    <t>110027</t>
  </si>
  <si>
    <t>7827815507</t>
  </si>
  <si>
    <t>149</t>
  </si>
  <si>
    <t>Aashutosh</t>
  </si>
  <si>
    <t>Jaiswal</t>
  </si>
  <si>
    <t>aashujaiswal201@gmail.com</t>
  </si>
  <si>
    <t>19-04-2001</t>
  </si>
  <si>
    <t>MSG</t>
  </si>
  <si>
    <t>Content Strategist</t>
  </si>
  <si>
    <t>11-05-2026</t>
  </si>
  <si>
    <t>House No. 339, Pocket A</t>
  </si>
  <si>
    <t>Sector 21</t>
  </si>
  <si>
    <t>Gurugram</t>
  </si>
  <si>
    <t>Haryana</t>
  </si>
  <si>
    <t>122001</t>
  </si>
  <si>
    <t>House no. 13</t>
  </si>
  <si>
    <t>Vijay Nagar Phase II, Devrikhurd</t>
  </si>
  <si>
    <t>Bilaspur</t>
  </si>
  <si>
    <t>Chhattisgarh</t>
  </si>
  <si>
    <t>7898511083</t>
  </si>
  <si>
    <t>Nandal</t>
  </si>
  <si>
    <t>DN01</t>
  </si>
  <si>
    <t>DN02</t>
  </si>
  <si>
    <t>mridul@digitallynext.com</t>
  </si>
  <si>
    <t>hemant@digitallynext.com</t>
  </si>
  <si>
    <t>ayushi@digitallynext.com</t>
  </si>
  <si>
    <t>guruprasad@digitallynext.com</t>
  </si>
  <si>
    <t>gavisha@digitallynext.com</t>
  </si>
  <si>
    <t>teesha@digitallynext.com</t>
  </si>
  <si>
    <t>diwakar@digitallynext.com</t>
  </si>
  <si>
    <t>komal@digitallynext.com</t>
  </si>
  <si>
    <t>aashutosh@digitallynext.com</t>
  </si>
  <si>
    <t>karanj@digitallynext.com</t>
  </si>
  <si>
    <t>Male</t>
  </si>
  <si>
    <t>Female</t>
  </si>
  <si>
    <t>Indian</t>
  </si>
  <si>
    <t>Remote</t>
  </si>
  <si>
    <t>Office</t>
  </si>
  <si>
    <t>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</si>
</sst>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E3A8A"/>
      <name val="Calibri"/>
    </font>
    <font>
      <b/>
      <sz val="13"/>
      <color rgb="FF111827"/>
      <name val="Calibri"/>
    </font>
    <font>
      <sz val="11"/>
      <color rgb="FF374151"/>
      <name val="Calibri"/>
    </font>
    <font>
      <b/>
      <sz val="13"/>
      <color rgb="FFB91C1C"/>
      <name val="Calibri"/>
    </font>
    <font>
      <sz val="11"/>
      <color rgb="FF111827"/>
      <name val="Consolas"/>
    </font>
    <font>
      <b/>
      <sz val="11"/>
      <color rgb="FFFFFFFF"/>
      <name val="Calibri"/>
    </font>
    <font>
      <i/>
      <sz val="11"/>
      <color rgb="FF6B7280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1" applyBorder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aranj@digitallynext.com" TargetMode="External"/><Relationship Id="rId3" Type="http://schemas.openxmlformats.org/officeDocument/2006/relationships/hyperlink" Target="mailto:ayushi@digitallynext.com" TargetMode="External"/><Relationship Id="rId7" Type="http://schemas.openxmlformats.org/officeDocument/2006/relationships/hyperlink" Target="mailto:komal@digitallynext.com" TargetMode="External"/><Relationship Id="rId12" Type="http://schemas.openxmlformats.org/officeDocument/2006/relationships/comments" Target="../comments1.xml"/><Relationship Id="rId2" Type="http://schemas.openxmlformats.org/officeDocument/2006/relationships/hyperlink" Target="mailto:hemant@digitallynext.com" TargetMode="External"/><Relationship Id="rId1" Type="http://schemas.openxmlformats.org/officeDocument/2006/relationships/hyperlink" Target="mailto:mridul@digitallynext.com" TargetMode="External"/><Relationship Id="rId6" Type="http://schemas.openxmlformats.org/officeDocument/2006/relationships/hyperlink" Target="mailto:teesha@digitallynext.com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mailto:gavisha@digitallynext.com" TargetMode="External"/><Relationship Id="rId10" Type="http://schemas.openxmlformats.org/officeDocument/2006/relationships/hyperlink" Target="mailto:diwakar@digitallynext.com" TargetMode="External"/><Relationship Id="rId4" Type="http://schemas.openxmlformats.org/officeDocument/2006/relationships/hyperlink" Target="mailto:guruprasad@digitallynext.com" TargetMode="External"/><Relationship Id="rId9" Type="http://schemas.openxmlformats.org/officeDocument/2006/relationships/hyperlink" Target="mailto:aashutosh@digitallynex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9669"/>
  </sheetPr>
  <dimension ref="B2:B26"/>
  <sheetViews>
    <sheetView workbookViewId="0"/>
  </sheetViews>
  <sheetFormatPr defaultRowHeight="14.4" x14ac:dyDescent="0.3"/>
  <cols>
    <col min="1" max="2" width="110" customWidth="1"/>
  </cols>
  <sheetData>
    <row r="2" spans="2:2" ht="22.35" customHeight="1" x14ac:dyDescent="0.45">
      <c r="B2" s="1" t="s">
        <v>0</v>
      </c>
    </row>
    <row r="3" spans="2:2" x14ac:dyDescent="0.3">
      <c r="B3" t="s">
        <v>1</v>
      </c>
    </row>
    <row r="4" spans="2:2" ht="17.55" customHeight="1" x14ac:dyDescent="0.35">
      <c r="B4" s="2" t="s">
        <v>2</v>
      </c>
    </row>
    <row r="5" spans="2:2" x14ac:dyDescent="0.3">
      <c r="B5" s="3" t="s">
        <v>3</v>
      </c>
    </row>
    <row r="6" spans="2:2" x14ac:dyDescent="0.3">
      <c r="B6" s="3" t="s">
        <v>4</v>
      </c>
    </row>
    <row r="7" spans="2:2" x14ac:dyDescent="0.3">
      <c r="B7" s="3" t="s">
        <v>5</v>
      </c>
    </row>
    <row r="8" spans="2:2" x14ac:dyDescent="0.3">
      <c r="B8" s="3" t="s">
        <v>6</v>
      </c>
    </row>
    <row r="9" spans="2:2" x14ac:dyDescent="0.3">
      <c r="B9" s="3" t="s">
        <v>7</v>
      </c>
    </row>
    <row r="10" spans="2:2" x14ac:dyDescent="0.3">
      <c r="B10" s="3" t="s">
        <v>8</v>
      </c>
    </row>
    <row r="11" spans="2:2" x14ac:dyDescent="0.3">
      <c r="B11" s="3" t="s">
        <v>9</v>
      </c>
    </row>
    <row r="12" spans="2:2" x14ac:dyDescent="0.3">
      <c r="B12" t="s">
        <v>1</v>
      </c>
    </row>
    <row r="13" spans="2:2" ht="17.55" customHeight="1" x14ac:dyDescent="0.35">
      <c r="B13" s="4" t="s">
        <v>10</v>
      </c>
    </row>
    <row r="14" spans="2:2" x14ac:dyDescent="0.3">
      <c r="B14" s="3" t="s">
        <v>11</v>
      </c>
    </row>
    <row r="15" spans="2:2" x14ac:dyDescent="0.3">
      <c r="B15" s="5" t="s">
        <v>12</v>
      </c>
    </row>
    <row r="16" spans="2:2" x14ac:dyDescent="0.3">
      <c r="B16" s="3" t="s">
        <v>13</v>
      </c>
    </row>
    <row r="17" spans="2:2" x14ac:dyDescent="0.3">
      <c r="B17" t="s">
        <v>1</v>
      </c>
    </row>
    <row r="18" spans="2:2" ht="17.55" customHeight="1" x14ac:dyDescent="0.35">
      <c r="B18" s="2" t="s">
        <v>14</v>
      </c>
    </row>
    <row r="19" spans="2:2" x14ac:dyDescent="0.3">
      <c r="B19" s="3" t="s">
        <v>15</v>
      </c>
    </row>
    <row r="20" spans="2:2" x14ac:dyDescent="0.3">
      <c r="B20" s="3" t="s">
        <v>16</v>
      </c>
    </row>
    <row r="21" spans="2:2" x14ac:dyDescent="0.3">
      <c r="B21" s="3" t="s">
        <v>17</v>
      </c>
    </row>
    <row r="22" spans="2:2" x14ac:dyDescent="0.3">
      <c r="B22" s="3" t="s">
        <v>18</v>
      </c>
    </row>
    <row r="23" spans="2:2" x14ac:dyDescent="0.3">
      <c r="B23" s="3" t="s">
        <v>19</v>
      </c>
    </row>
    <row r="24" spans="2:2" x14ac:dyDescent="0.3">
      <c r="B24" t="s">
        <v>1</v>
      </c>
    </row>
    <row r="25" spans="2:2" ht="17.55" customHeight="1" x14ac:dyDescent="0.35">
      <c r="B25" s="2" t="s">
        <v>20</v>
      </c>
    </row>
    <row r="26" spans="2:2" x14ac:dyDescent="0.3">
      <c r="B26" s="3" t="s">
        <v>21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1"/>
  <sheetViews>
    <sheetView tabSelected="1" zoomScaleNormal="100" workbookViewId="0">
      <pane ySplit="1" topLeftCell="A2" activePane="bottomLeft" state="frozen"/>
      <selection pane="bottomLeft" activeCell="AE12" sqref="A1:AE12"/>
    </sheetView>
  </sheetViews>
  <sheetFormatPr defaultRowHeight="14.4" x14ac:dyDescent="0.3"/>
  <cols>
    <col min="1" max="1" width="6" customWidth="1"/>
    <col min="2" max="2" width="14" customWidth="1"/>
    <col min="3" max="4" width="18" customWidth="1"/>
    <col min="5" max="5" width="32" customWidth="1"/>
    <col min="6" max="6" width="28" customWidth="1"/>
    <col min="7" max="8" width="18" customWidth="1"/>
    <col min="9" max="11" width="14" customWidth="1"/>
    <col min="12" max="12" width="12" customWidth="1"/>
    <col min="13" max="13" width="18" customWidth="1"/>
    <col min="14" max="14" width="22" customWidth="1"/>
    <col min="15" max="15" width="16" customWidth="1"/>
    <col min="16" max="16" width="14" customWidth="1"/>
    <col min="17" max="17" width="18" customWidth="1"/>
    <col min="18" max="18" width="24" customWidth="1"/>
    <col min="19" max="19" width="18" customWidth="1"/>
    <col min="20" max="21" width="14" customWidth="1"/>
    <col min="22" max="22" width="10" customWidth="1"/>
    <col min="23" max="23" width="24" customWidth="1"/>
    <col min="24" max="24" width="18" customWidth="1"/>
    <col min="25" max="26" width="14" customWidth="1"/>
    <col min="27" max="27" width="10" customWidth="1"/>
    <col min="28" max="28" width="22" customWidth="1"/>
    <col min="29" max="29" width="16" customWidth="1"/>
    <col min="30" max="30" width="18" customWidth="1"/>
  </cols>
  <sheetData>
    <row r="1" spans="1:30" s="6" customFormat="1" ht="31.95" customHeight="1" x14ac:dyDescent="0.3">
      <c r="A1" s="7" t="s">
        <v>22</v>
      </c>
      <c r="B1" s="7" t="s">
        <v>23</v>
      </c>
      <c r="C1" s="8" t="s">
        <v>24</v>
      </c>
      <c r="D1" s="8" t="s">
        <v>25</v>
      </c>
      <c r="E1" s="8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39</v>
      </c>
      <c r="S1" s="7" t="s">
        <v>40</v>
      </c>
      <c r="T1" s="7" t="s">
        <v>41</v>
      </c>
      <c r="U1" s="7" t="s">
        <v>42</v>
      </c>
      <c r="V1" s="7" t="s">
        <v>43</v>
      </c>
      <c r="W1" s="7" t="s">
        <v>44</v>
      </c>
      <c r="X1" s="7" t="s">
        <v>45</v>
      </c>
      <c r="Y1" s="7" t="s">
        <v>46</v>
      </c>
      <c r="Z1" s="7" t="s">
        <v>47</v>
      </c>
      <c r="AA1" s="7" t="s">
        <v>48</v>
      </c>
      <c r="AB1" s="7" t="s">
        <v>49</v>
      </c>
      <c r="AC1" s="7" t="s">
        <v>50</v>
      </c>
      <c r="AD1" s="7" t="s">
        <v>51</v>
      </c>
    </row>
    <row r="2" spans="1:30" x14ac:dyDescent="0.3">
      <c r="A2" s="9">
        <f>IF(COUNTA(B2:AD2)=0,"",1)</f>
        <v>1</v>
      </c>
      <c r="B2" s="10" t="s">
        <v>52</v>
      </c>
      <c r="C2" s="10" t="s">
        <v>53</v>
      </c>
      <c r="D2" s="10" t="s">
        <v>54</v>
      </c>
      <c r="E2" s="11" t="s">
        <v>178</v>
      </c>
      <c r="F2" s="10" t="s">
        <v>55</v>
      </c>
      <c r="G2" s="10"/>
      <c r="H2" s="10"/>
      <c r="I2" s="10" t="s">
        <v>56</v>
      </c>
      <c r="J2" s="10" t="s">
        <v>188</v>
      </c>
      <c r="K2" s="10" t="s">
        <v>190</v>
      </c>
      <c r="L2" s="10"/>
      <c r="M2" s="10" t="s">
        <v>57</v>
      </c>
      <c r="N2" s="10" t="s">
        <v>58</v>
      </c>
      <c r="O2" s="10" t="s">
        <v>59</v>
      </c>
      <c r="P2" s="10" t="s">
        <v>60</v>
      </c>
      <c r="Q2" s="10" t="s">
        <v>192</v>
      </c>
      <c r="R2" s="10" t="s">
        <v>61</v>
      </c>
      <c r="S2" s="10" t="s">
        <v>62</v>
      </c>
      <c r="T2" s="10" t="s">
        <v>63</v>
      </c>
      <c r="U2" s="10" t="s">
        <v>63</v>
      </c>
      <c r="V2" s="10" t="s">
        <v>64</v>
      </c>
      <c r="W2" s="10" t="s">
        <v>61</v>
      </c>
      <c r="X2" s="10" t="s">
        <v>62</v>
      </c>
      <c r="Y2" s="10" t="s">
        <v>63</v>
      </c>
      <c r="Z2" s="10" t="s">
        <v>63</v>
      </c>
      <c r="AA2" s="10" t="s">
        <v>64</v>
      </c>
      <c r="AB2" s="10"/>
      <c r="AC2" s="10" t="s">
        <v>193</v>
      </c>
      <c r="AD2" s="10" t="s">
        <v>65</v>
      </c>
    </row>
    <row r="3" spans="1:30" x14ac:dyDescent="0.3">
      <c r="A3" s="9">
        <f>IF(COUNTA(B3:AD3)=0,"",2)</f>
        <v>2</v>
      </c>
      <c r="B3" s="10" t="s">
        <v>66</v>
      </c>
      <c r="C3" s="10" t="s">
        <v>67</v>
      </c>
      <c r="D3" s="10" t="s">
        <v>175</v>
      </c>
      <c r="E3" s="11" t="s">
        <v>179</v>
      </c>
      <c r="F3" s="10" t="s">
        <v>68</v>
      </c>
      <c r="G3" s="10"/>
      <c r="H3" s="10"/>
      <c r="I3" s="10" t="s">
        <v>69</v>
      </c>
      <c r="J3" s="10" t="s">
        <v>188</v>
      </c>
      <c r="K3" s="10" t="s">
        <v>190</v>
      </c>
      <c r="L3" s="10"/>
      <c r="M3" s="10" t="s">
        <v>70</v>
      </c>
      <c r="N3" s="10" t="s">
        <v>71</v>
      </c>
      <c r="O3" s="10" t="s">
        <v>59</v>
      </c>
      <c r="P3" s="10" t="s">
        <v>72</v>
      </c>
      <c r="Q3" s="10" t="s">
        <v>192</v>
      </c>
      <c r="R3" s="10" t="s">
        <v>73</v>
      </c>
      <c r="S3" s="10" t="s">
        <v>74</v>
      </c>
      <c r="T3" s="10" t="s">
        <v>75</v>
      </c>
      <c r="U3" s="10" t="s">
        <v>63</v>
      </c>
      <c r="V3" s="10" t="s">
        <v>76</v>
      </c>
      <c r="W3" s="10" t="s">
        <v>73</v>
      </c>
      <c r="X3" s="10" t="s">
        <v>74</v>
      </c>
      <c r="Y3" s="10" t="s">
        <v>75</v>
      </c>
      <c r="Z3" s="10" t="s">
        <v>63</v>
      </c>
      <c r="AA3" s="10" t="s">
        <v>76</v>
      </c>
      <c r="AB3" s="10"/>
      <c r="AC3" s="10" t="s">
        <v>121</v>
      </c>
      <c r="AD3" s="10" t="s">
        <v>77</v>
      </c>
    </row>
    <row r="4" spans="1:30" x14ac:dyDescent="0.3">
      <c r="A4" s="9">
        <f>IF(COUNTA(B4:AD4)=0,"",3)</f>
        <v>3</v>
      </c>
      <c r="B4" s="10" t="s">
        <v>78</v>
      </c>
      <c r="C4" s="10" t="s">
        <v>79</v>
      </c>
      <c r="D4" s="10" t="s">
        <v>80</v>
      </c>
      <c r="E4" s="11" t="s">
        <v>180</v>
      </c>
      <c r="F4" s="10" t="s">
        <v>81</v>
      </c>
      <c r="G4" s="10"/>
      <c r="H4" s="10"/>
      <c r="I4" s="10" t="s">
        <v>82</v>
      </c>
      <c r="J4" s="10" t="s">
        <v>189</v>
      </c>
      <c r="K4" s="10" t="s">
        <v>190</v>
      </c>
      <c r="L4" s="10"/>
      <c r="M4" s="10" t="s">
        <v>83</v>
      </c>
      <c r="N4" s="10" t="s">
        <v>84</v>
      </c>
      <c r="O4" s="10" t="s">
        <v>59</v>
      </c>
      <c r="P4" s="10" t="s">
        <v>85</v>
      </c>
      <c r="Q4" s="10" t="s">
        <v>192</v>
      </c>
      <c r="R4" s="10" t="s">
        <v>86</v>
      </c>
      <c r="S4" s="10" t="s">
        <v>87</v>
      </c>
      <c r="T4" s="10" t="s">
        <v>75</v>
      </c>
      <c r="U4" s="10" t="s">
        <v>63</v>
      </c>
      <c r="V4" s="10" t="s">
        <v>88</v>
      </c>
      <c r="W4" s="10" t="s">
        <v>86</v>
      </c>
      <c r="X4" s="10" t="s">
        <v>87</v>
      </c>
      <c r="Y4" s="10" t="s">
        <v>75</v>
      </c>
      <c r="Z4" s="10" t="s">
        <v>63</v>
      </c>
      <c r="AA4" s="10" t="s">
        <v>88</v>
      </c>
      <c r="AB4" s="10"/>
      <c r="AC4" s="10" t="s">
        <v>121</v>
      </c>
      <c r="AD4" s="10" t="s">
        <v>89</v>
      </c>
    </row>
    <row r="5" spans="1:30" x14ac:dyDescent="0.3">
      <c r="A5" s="9">
        <f>IF(COUNTA(B5:AD5)=0,"",4)</f>
        <v>4</v>
      </c>
      <c r="B5" s="10" t="s">
        <v>176</v>
      </c>
      <c r="C5" s="10" t="s">
        <v>90</v>
      </c>
      <c r="D5" s="10"/>
      <c r="E5" s="11" t="s">
        <v>181</v>
      </c>
      <c r="F5" s="10" t="s">
        <v>91</v>
      </c>
      <c r="G5" s="10"/>
      <c r="H5" s="10"/>
      <c r="I5" s="10" t="s">
        <v>92</v>
      </c>
      <c r="J5" s="10" t="s">
        <v>188</v>
      </c>
      <c r="K5" s="10" t="s">
        <v>190</v>
      </c>
      <c r="L5" s="10"/>
      <c r="M5" s="10" t="s">
        <v>93</v>
      </c>
      <c r="N5" s="10" t="s">
        <v>94</v>
      </c>
      <c r="O5" s="10" t="s">
        <v>59</v>
      </c>
      <c r="P5" s="10" t="s">
        <v>95</v>
      </c>
      <c r="Q5" s="10" t="s">
        <v>191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 t="s">
        <v>121</v>
      </c>
      <c r="AD5" s="10" t="s">
        <v>96</v>
      </c>
    </row>
    <row r="6" spans="1:30" x14ac:dyDescent="0.3">
      <c r="A6" s="9">
        <f>IF(COUNTA(B6:AD6)=0,"",5)</f>
        <v>5</v>
      </c>
      <c r="B6" s="10" t="s">
        <v>177</v>
      </c>
      <c r="C6" s="10" t="s">
        <v>97</v>
      </c>
      <c r="D6" s="10"/>
      <c r="E6" s="11" t="s">
        <v>182</v>
      </c>
      <c r="F6" s="10" t="s">
        <v>98</v>
      </c>
      <c r="G6" s="10"/>
      <c r="H6" s="10"/>
      <c r="I6" s="10" t="s">
        <v>99</v>
      </c>
      <c r="J6" s="10" t="s">
        <v>189</v>
      </c>
      <c r="K6" s="10" t="s">
        <v>190</v>
      </c>
      <c r="L6" s="10"/>
      <c r="M6" s="10" t="s">
        <v>70</v>
      </c>
      <c r="N6" s="10" t="s">
        <v>71</v>
      </c>
      <c r="O6" s="10" t="s">
        <v>59</v>
      </c>
      <c r="P6" s="10" t="s">
        <v>95</v>
      </c>
      <c r="Q6" s="10" t="s">
        <v>191</v>
      </c>
      <c r="R6" s="10" t="s">
        <v>100</v>
      </c>
      <c r="S6" s="10" t="s">
        <v>101</v>
      </c>
      <c r="T6" s="10" t="s">
        <v>102</v>
      </c>
      <c r="U6" s="10" t="s">
        <v>103</v>
      </c>
      <c r="V6" s="10" t="s">
        <v>104</v>
      </c>
      <c r="W6" s="10" t="s">
        <v>105</v>
      </c>
      <c r="X6" s="10" t="s">
        <v>106</v>
      </c>
      <c r="Y6" s="10" t="s">
        <v>102</v>
      </c>
      <c r="Z6" s="10" t="s">
        <v>103</v>
      </c>
      <c r="AA6" s="10" t="s">
        <v>107</v>
      </c>
      <c r="AB6" s="10"/>
      <c r="AC6" s="10" t="s">
        <v>121</v>
      </c>
      <c r="AD6" s="10" t="s">
        <v>108</v>
      </c>
    </row>
    <row r="7" spans="1:30" x14ac:dyDescent="0.3">
      <c r="A7" s="9">
        <f>IF(COUNTA(B7:AD7)=0,"",6)</f>
        <v>6</v>
      </c>
      <c r="B7" s="10" t="s">
        <v>109</v>
      </c>
      <c r="C7" s="10" t="s">
        <v>110</v>
      </c>
      <c r="D7" s="10" t="s">
        <v>111</v>
      </c>
      <c r="E7" s="11" t="s">
        <v>183</v>
      </c>
      <c r="F7" s="10" t="s">
        <v>112</v>
      </c>
      <c r="G7" s="10"/>
      <c r="H7" s="10"/>
      <c r="I7" s="10" t="s">
        <v>113</v>
      </c>
      <c r="J7" s="10" t="s">
        <v>189</v>
      </c>
      <c r="K7" s="10" t="s">
        <v>190</v>
      </c>
      <c r="L7" s="10"/>
      <c r="M7" s="10" t="s">
        <v>114</v>
      </c>
      <c r="N7" s="10" t="s">
        <v>115</v>
      </c>
      <c r="O7" s="10" t="s">
        <v>59</v>
      </c>
      <c r="P7" s="10" t="s">
        <v>116</v>
      </c>
      <c r="Q7" s="10" t="s">
        <v>192</v>
      </c>
      <c r="R7" s="10" t="s">
        <v>117</v>
      </c>
      <c r="S7" s="10" t="s">
        <v>118</v>
      </c>
      <c r="T7" s="10" t="s">
        <v>119</v>
      </c>
      <c r="U7" s="10" t="s">
        <v>63</v>
      </c>
      <c r="V7" s="10" t="s">
        <v>120</v>
      </c>
      <c r="W7" s="10" t="s">
        <v>117</v>
      </c>
      <c r="X7" s="10" t="s">
        <v>118</v>
      </c>
      <c r="Y7" s="10" t="s">
        <v>119</v>
      </c>
      <c r="Z7" s="10" t="s">
        <v>63</v>
      </c>
      <c r="AA7" s="10" t="s">
        <v>120</v>
      </c>
      <c r="AB7" s="10"/>
      <c r="AC7" s="10" t="s">
        <v>121</v>
      </c>
      <c r="AD7" s="10" t="s">
        <v>122</v>
      </c>
    </row>
    <row r="8" spans="1:30" x14ac:dyDescent="0.3">
      <c r="A8" s="9">
        <f>IF(COUNTA(B8:AD8)=0,"",7)</f>
        <v>7</v>
      </c>
      <c r="B8" s="10" t="s">
        <v>123</v>
      </c>
      <c r="C8" s="10" t="s">
        <v>124</v>
      </c>
      <c r="D8" s="10" t="s">
        <v>125</v>
      </c>
      <c r="E8" s="11" t="s">
        <v>187</v>
      </c>
      <c r="F8" s="10" t="s">
        <v>126</v>
      </c>
      <c r="G8" s="10"/>
      <c r="H8" s="10"/>
      <c r="I8" s="10" t="s">
        <v>127</v>
      </c>
      <c r="J8" s="10" t="s">
        <v>188</v>
      </c>
      <c r="K8" s="10" t="s">
        <v>190</v>
      </c>
      <c r="L8" s="10"/>
      <c r="M8" s="10" t="s">
        <v>57</v>
      </c>
      <c r="N8" s="10" t="s">
        <v>128</v>
      </c>
      <c r="O8" s="10" t="s">
        <v>59</v>
      </c>
      <c r="P8" s="10" t="s">
        <v>129</v>
      </c>
      <c r="Q8" s="10" t="s">
        <v>192</v>
      </c>
      <c r="R8" s="10" t="s">
        <v>130</v>
      </c>
      <c r="S8" s="10" t="s">
        <v>131</v>
      </c>
      <c r="T8" s="10" t="s">
        <v>132</v>
      </c>
      <c r="U8" s="10" t="s">
        <v>133</v>
      </c>
      <c r="V8" s="10" t="s">
        <v>134</v>
      </c>
      <c r="W8" s="10" t="s">
        <v>130</v>
      </c>
      <c r="X8" s="10" t="s">
        <v>131</v>
      </c>
      <c r="Y8" s="10" t="s">
        <v>132</v>
      </c>
      <c r="Z8" s="10" t="s">
        <v>133</v>
      </c>
      <c r="AA8" s="10" t="s">
        <v>134</v>
      </c>
      <c r="AB8" s="10"/>
      <c r="AC8" s="10" t="s">
        <v>135</v>
      </c>
      <c r="AD8" s="10" t="s">
        <v>136</v>
      </c>
    </row>
    <row r="9" spans="1:30" x14ac:dyDescent="0.3">
      <c r="A9" s="9">
        <f>IF(COUNTA(B9:AD9)=0,"",8)</f>
        <v>8</v>
      </c>
      <c r="B9" s="10" t="s">
        <v>137</v>
      </c>
      <c r="C9" s="10" t="s">
        <v>138</v>
      </c>
      <c r="D9" s="10" t="s">
        <v>139</v>
      </c>
      <c r="E9" s="11" t="s">
        <v>184</v>
      </c>
      <c r="F9" s="10" t="s">
        <v>140</v>
      </c>
      <c r="G9" s="10"/>
      <c r="H9" s="10"/>
      <c r="I9" s="12">
        <v>37440</v>
      </c>
      <c r="J9" s="10" t="s">
        <v>188</v>
      </c>
      <c r="K9" s="10" t="s">
        <v>190</v>
      </c>
      <c r="L9" s="10"/>
      <c r="M9" s="10" t="s">
        <v>57</v>
      </c>
      <c r="N9" s="10" t="s">
        <v>58</v>
      </c>
      <c r="O9" s="10" t="s">
        <v>59</v>
      </c>
      <c r="P9" s="10" t="s">
        <v>129</v>
      </c>
      <c r="Q9" s="10" t="s">
        <v>192</v>
      </c>
      <c r="R9" s="10" t="s">
        <v>141</v>
      </c>
      <c r="S9" s="10" t="s">
        <v>142</v>
      </c>
      <c r="T9" s="10" t="s">
        <v>143</v>
      </c>
      <c r="U9" s="10" t="s">
        <v>63</v>
      </c>
      <c r="V9" s="10" t="s">
        <v>144</v>
      </c>
      <c r="W9" s="10" t="s">
        <v>141</v>
      </c>
      <c r="X9" s="10" t="s">
        <v>142</v>
      </c>
      <c r="Y9" s="10" t="s">
        <v>143</v>
      </c>
      <c r="Z9" s="10" t="s">
        <v>63</v>
      </c>
      <c r="AA9" s="10" t="s">
        <v>144</v>
      </c>
      <c r="AB9" s="10"/>
      <c r="AC9" s="10" t="s">
        <v>121</v>
      </c>
      <c r="AD9" s="10" t="s">
        <v>145</v>
      </c>
    </row>
    <row r="10" spans="1:30" x14ac:dyDescent="0.3">
      <c r="A10" s="9">
        <f>IF(COUNTA(B10:AD10)=0,"",9)</f>
        <v>9</v>
      </c>
      <c r="B10" s="10" t="s">
        <v>146</v>
      </c>
      <c r="C10" s="10" t="s">
        <v>147</v>
      </c>
      <c r="D10" s="10" t="s">
        <v>148</v>
      </c>
      <c r="E10" s="11" t="s">
        <v>185</v>
      </c>
      <c r="F10" s="10" t="s">
        <v>149</v>
      </c>
      <c r="G10" s="10"/>
      <c r="H10" s="10"/>
      <c r="I10" s="12">
        <v>37201</v>
      </c>
      <c r="J10" s="10" t="s">
        <v>189</v>
      </c>
      <c r="K10" s="10" t="s">
        <v>190</v>
      </c>
      <c r="L10" s="10"/>
      <c r="M10" s="10" t="s">
        <v>70</v>
      </c>
      <c r="N10" s="10" t="s">
        <v>150</v>
      </c>
      <c r="O10" s="10" t="s">
        <v>59</v>
      </c>
      <c r="P10" s="10" t="s">
        <v>151</v>
      </c>
      <c r="Q10" s="10" t="s">
        <v>192</v>
      </c>
      <c r="R10" s="10" t="s">
        <v>152</v>
      </c>
      <c r="S10" s="10" t="s">
        <v>153</v>
      </c>
      <c r="T10" s="10" t="s">
        <v>154</v>
      </c>
      <c r="U10" s="10" t="s">
        <v>63</v>
      </c>
      <c r="V10" s="10" t="s">
        <v>155</v>
      </c>
      <c r="W10" s="10" t="s">
        <v>152</v>
      </c>
      <c r="X10" s="10" t="s">
        <v>153</v>
      </c>
      <c r="Y10" s="10" t="s">
        <v>154</v>
      </c>
      <c r="Z10" s="10" t="s">
        <v>63</v>
      </c>
      <c r="AA10" s="10" t="s">
        <v>155</v>
      </c>
      <c r="AB10" s="10"/>
      <c r="AC10" s="10" t="s">
        <v>135</v>
      </c>
      <c r="AD10" s="10" t="s">
        <v>156</v>
      </c>
    </row>
    <row r="11" spans="1:30" x14ac:dyDescent="0.3">
      <c r="A11" s="9">
        <f>IF(COUNTA(B11:AD11)=0,"",10)</f>
        <v>10</v>
      </c>
      <c r="B11" s="10" t="s">
        <v>157</v>
      </c>
      <c r="C11" s="10" t="s">
        <v>158</v>
      </c>
      <c r="D11" s="10" t="s">
        <v>159</v>
      </c>
      <c r="E11" s="11" t="s">
        <v>186</v>
      </c>
      <c r="F11" s="10" t="s">
        <v>160</v>
      </c>
      <c r="G11" s="10"/>
      <c r="H11" s="10"/>
      <c r="I11" s="10" t="s">
        <v>161</v>
      </c>
      <c r="J11" s="10" t="s">
        <v>188</v>
      </c>
      <c r="K11" s="10" t="s">
        <v>190</v>
      </c>
      <c r="L11" s="10"/>
      <c r="M11" s="10" t="s">
        <v>162</v>
      </c>
      <c r="N11" s="10" t="s">
        <v>163</v>
      </c>
      <c r="O11" s="10" t="s">
        <v>59</v>
      </c>
      <c r="P11" s="10" t="s">
        <v>164</v>
      </c>
      <c r="Q11" s="10" t="s">
        <v>192</v>
      </c>
      <c r="R11" s="10" t="s">
        <v>165</v>
      </c>
      <c r="S11" s="10" t="s">
        <v>166</v>
      </c>
      <c r="T11" s="10" t="s">
        <v>167</v>
      </c>
      <c r="U11" s="10" t="s">
        <v>168</v>
      </c>
      <c r="V11" s="10" t="s">
        <v>169</v>
      </c>
      <c r="W11" s="10" t="s">
        <v>170</v>
      </c>
      <c r="X11" s="10" t="s">
        <v>171</v>
      </c>
      <c r="Y11" s="10" t="s">
        <v>172</v>
      </c>
      <c r="Z11" s="10" t="s">
        <v>173</v>
      </c>
      <c r="AA11" s="10">
        <v>495001</v>
      </c>
      <c r="AB11" s="10"/>
      <c r="AC11" s="10" t="s">
        <v>135</v>
      </c>
      <c r="AD11" s="10" t="s">
        <v>174</v>
      </c>
    </row>
    <row r="12" spans="1:30" x14ac:dyDescent="0.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3">
      <c r="A14" s="9" t="str">
        <f>IF(COUNTA(B14:AD14)=0,"",13)</f>
        <v/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3">
      <c r="A15" s="9" t="str">
        <f>IF(COUNTA(B15:AD15)=0,"",14)</f>
        <v/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3">
      <c r="A16" s="9" t="str">
        <f>IF(COUNTA(B16:AD16)=0,"",15)</f>
        <v/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3">
      <c r="A17" s="9" t="str">
        <f>IF(COUNTA(B17:AD17)=0,"",16)</f>
        <v/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3">
      <c r="A18" s="9" t="str">
        <f>IF(COUNTA(B18:AD18)=0,"",17)</f>
        <v/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3">
      <c r="A19" s="9" t="str">
        <f>IF(COUNTA(B19:AD19)=0,"",18)</f>
        <v/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3">
      <c r="A20" s="9" t="str">
        <f>IF(COUNTA(B20:AD20)=0,"",19)</f>
        <v/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3">
      <c r="A21" s="9" t="str">
        <f>IF(COUNTA(B21:AD21)=0,"",20)</f>
        <v/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3">
      <c r="A22" s="9" t="str">
        <f>IF(COUNTA(B22:AD22)=0,"",21)</f>
        <v/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3">
      <c r="A23" s="9" t="str">
        <f>IF(COUNTA(B23:AD23)=0,"",22)</f>
        <v/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3">
      <c r="A24" s="9" t="str">
        <f>IF(COUNTA(B24:AD24)=0,"",23)</f>
        <v/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3">
      <c r="A25" s="9" t="str">
        <f>IF(COUNTA(B25:AD25)=0,"",24)</f>
        <v/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3">
      <c r="A26" s="9" t="str">
        <f>IF(COUNTA(B26:AD26)=0,"",25)</f>
        <v/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3">
      <c r="A27" s="9" t="str">
        <f>IF(COUNTA(B27:AD27)=0,"",26)</f>
        <v/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3">
      <c r="A28" s="9" t="str">
        <f>IF(COUNTA(B28:AD28)=0,"",27)</f>
        <v/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3">
      <c r="A29" s="9" t="str">
        <f>IF(COUNTA(B29:AD29)=0,"",28)</f>
        <v/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3">
      <c r="A30" s="9" t="str">
        <f>IF(COUNTA(B30:AD30)=0,"",29)</f>
        <v/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3">
      <c r="A31" s="9" t="str">
        <f>IF(COUNTA(B31:AD31)=0,"",30)</f>
        <v/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3">
      <c r="A32" s="9" t="str">
        <f>IF(COUNTA(B32:AD32)=0,"",31)</f>
        <v/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3">
      <c r="A33" s="9" t="str">
        <f>IF(COUNTA(B33:AD33)=0,"",32)</f>
        <v/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3">
      <c r="A34" s="9" t="str">
        <f>IF(COUNTA(B34:AD34)=0,"",33)</f>
        <v/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3">
      <c r="A35" s="9" t="str">
        <f>IF(COUNTA(B35:AD35)=0,"",34)</f>
        <v/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3">
      <c r="A36" s="9" t="str">
        <f>IF(COUNTA(B36:AD36)=0,"",35)</f>
        <v/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3">
      <c r="A37" s="9" t="str">
        <f>IF(COUNTA(B37:AD37)=0,"",36)</f>
        <v/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3">
      <c r="A38" s="9" t="str">
        <f>IF(COUNTA(B38:AD38)=0,"",37)</f>
        <v/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3">
      <c r="A39" s="9" t="str">
        <f>IF(COUNTA(B39:AD39)=0,"",38)</f>
        <v/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3">
      <c r="A40" s="9" t="str">
        <f>IF(COUNTA(B40:AD40)=0,"",39)</f>
        <v/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3">
      <c r="A41" s="9" t="str">
        <f>IF(COUNTA(B41:AD41)=0,"",40)</f>
        <v/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3">
      <c r="A42" s="9" t="str">
        <f>IF(COUNTA(B42:AD42)=0,"",41)</f>
        <v/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3">
      <c r="A43" s="9" t="str">
        <f>IF(COUNTA(B43:AD43)=0,"",42)</f>
        <v/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3">
      <c r="A44" s="9" t="str">
        <f>IF(COUNTA(B44:AD44)=0,"",43)</f>
        <v/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3">
      <c r="A45" s="9" t="str">
        <f>IF(COUNTA(B45:AD45)=0,"",44)</f>
        <v/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x14ac:dyDescent="0.3">
      <c r="A46" s="9" t="str">
        <f>IF(COUNTA(B46:AD46)=0,"",45)</f>
        <v/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x14ac:dyDescent="0.3">
      <c r="A47" s="9" t="str">
        <f>IF(COUNTA(B47:AD47)=0,"",46)</f>
        <v/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x14ac:dyDescent="0.3">
      <c r="A48" s="9" t="str">
        <f>IF(COUNTA(B48:AD48)=0,"",47)</f>
        <v/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x14ac:dyDescent="0.3">
      <c r="A49" s="9" t="str">
        <f>IF(COUNTA(B49:AD49)=0,"",48)</f>
        <v/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x14ac:dyDescent="0.3">
      <c r="A50" s="9" t="str">
        <f>IF(COUNTA(B50:AD50)=0,"",49)</f>
        <v/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x14ac:dyDescent="0.3">
      <c r="A51" s="9" t="str">
        <f>IF(COUNTA(B51:AD51)=0,"",50)</f>
        <v/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</sheetData>
  <dataValidations count="4">
    <dataValidation type="list" errorStyle="warning" allowBlank="1" showErrorMessage="1" errorTitle="Invalid choice" error="Please pick one of: Male, Female, Other, Prefer not to say" sqref="J2:J51" xr:uid="{00000000-0002-0000-0100-000000000000}">
      <formula1>"Male,Female,Other,Prefer not to say"</formula1>
    </dataValidation>
    <dataValidation type="list" errorStyle="warning" allowBlank="1" showErrorMessage="1" errorTitle="Invalid choice" error="Please pick one of: A+, A-, B+, B-, AB+, AB-, O+, O-" sqref="L2:L51" xr:uid="{00000000-0002-0000-0100-000002000000}">
      <formula1>"A+,A-,B+,B-,AB+,AB-,O+,O-"</formula1>
    </dataValidation>
    <dataValidation type="list" errorStyle="warning" allowBlank="1" showErrorMessage="1" errorTitle="Invalid choice" error="Please pick one of: Business, Content, Create, Design, Digital PR, Finance, Human Resources, Operations, Paid Ads, Product, Promote, SEO, SMO, Video Production, Web Development" sqref="M2:M51" xr:uid="{00000000-0002-0000-0100-000004000000}">
      <formula1>"Business,Content,Create,Design,Digital PR,Finance,Human Resources,Operations,Paid Ads,Product,Promote,SEO,SMO,Video Production,Web Development"</formula1>
    </dataValidation>
    <dataValidation type="list" errorStyle="warning" allowBlank="1" showErrorMessage="1" errorTitle="Invalid choice" error="Please pick one of: Full Time, Part Time, Contract, Intern" sqref="O2:O51" xr:uid="{00000000-0002-0000-0100-000006000000}">
      <formula1>"Full Time,Part Time,Contract,Intern"</formula1>
    </dataValidation>
  </dataValidations>
  <hyperlinks>
    <hyperlink ref="E2" r:id="rId1" xr:uid="{E2DAC76A-D8B9-4B7B-BE86-B15538A7EE14}"/>
    <hyperlink ref="E3" r:id="rId2" xr:uid="{BCFC3A03-C43D-4FE7-9696-B121F2FF1763}"/>
    <hyperlink ref="E4" r:id="rId3" xr:uid="{C596F96A-18F7-4CF0-A787-0E056C224166}"/>
    <hyperlink ref="E5" r:id="rId4" xr:uid="{2117937D-F0E4-45EE-9F39-3F89C4F65FCB}"/>
    <hyperlink ref="E6" r:id="rId5" xr:uid="{9944EFFF-0C81-406C-95E6-E182585EBD2A}"/>
    <hyperlink ref="E7" r:id="rId6" xr:uid="{E5B236E0-AE15-465C-BE5F-D52C4EAC083D}"/>
    <hyperlink ref="E10" r:id="rId7" xr:uid="{DCE98239-3742-46E0-BEBD-FC1F8F3DF799}"/>
    <hyperlink ref="E8" r:id="rId8" xr:uid="{FA097BD1-A393-4E33-89C0-F7E900E0B8F1}"/>
    <hyperlink ref="E11" r:id="rId9" xr:uid="{165358CD-B8A7-4412-940E-010F8D309EBA}"/>
    <hyperlink ref="E9" r:id="rId10" xr:uid="{4C1CD51B-748D-4477-B1B5-829768239073}"/>
  </hyperlinks>
  <pageMargins left="0.7" right="0.7" top="0.75" bottom="0.75" header="0.3" footer="0.3"/>
  <pageSetup orientation="portrait" useFirstPageNumber="1" horizontalDpi="4294967295" verticalDpi="4294967295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Onboarding Template</dc:title>
  <dc:subject/>
  <dc:creator/>
  <cp:keywords/>
  <dc:description/>
  <cp:lastModifiedBy/>
  <dcterms:created xsi:type="dcterms:W3CDTF">2026-06-03T12:44:45Z</dcterms:created>
  <dcterms:modified xsi:type="dcterms:W3CDTF">2026-06-03T14:00:19Z</dcterms:modified>
  <cp:category/>
</cp:coreProperties>
</file>