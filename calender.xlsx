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N\DN_WEB\DNMS\WEBISTE_DNMS\"/>
    </mc:Choice>
  </mc:AlternateContent>
  <xr:revisionPtr revIDLastSave="0" documentId="13_ncr:1_{E2ACDA90-F7CE-4A77-AE7D-DBFF5364D28D}" xr6:coauthVersionLast="47" xr6:coauthVersionMax="47" xr10:uidLastSave="{00000000-0000-0000-0000-000000000000}"/>
  <bookViews>
    <workbookView xWindow="-108" yWindow="-108" windowWidth="23256" windowHeight="13896" tabRatio="500" xr2:uid="{00000000-000D-0000-FFFF-FFFF00000000}"/>
  </bookViews>
  <sheets>
    <sheet name="Meta_Calendar" sheetId="2" r:id="rId1"/>
    <sheet name="Google_Calendar" sheetId="3"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6" i="3" l="1"/>
  <c r="H5" i="3"/>
  <c r="H4" i="3"/>
  <c r="H3" i="3"/>
  <c r="H2" i="3"/>
  <c r="N20" i="2"/>
  <c r="O19" i="2"/>
  <c r="P19" i="2" s="1"/>
  <c r="O18" i="2"/>
  <c r="P18" i="2" s="1"/>
  <c r="O17" i="2"/>
  <c r="P17" i="2" s="1"/>
  <c r="O16" i="2"/>
  <c r="P16" i="2" s="1"/>
  <c r="O15" i="2"/>
  <c r="P15" i="2" s="1"/>
  <c r="O14" i="2"/>
  <c r="P14" i="2" s="1"/>
  <c r="O13" i="2"/>
  <c r="P13" i="2" s="1"/>
  <c r="O12" i="2"/>
  <c r="P12" i="2" s="1"/>
  <c r="O11" i="2"/>
  <c r="P11" i="2" s="1"/>
  <c r="O10" i="2"/>
  <c r="P10" i="2" s="1"/>
  <c r="O9" i="2"/>
  <c r="P9" i="2" s="1"/>
  <c r="O8" i="2"/>
  <c r="P8" i="2" s="1"/>
  <c r="O7" i="2"/>
  <c r="P7" i="2" s="1"/>
  <c r="O6" i="2"/>
  <c r="P6" i="2" s="1"/>
  <c r="O5" i="2"/>
  <c r="P5" i="2" s="1"/>
  <c r="O4" i="2"/>
  <c r="P4" i="2" s="1"/>
  <c r="O3" i="2"/>
  <c r="P3" i="2" s="1"/>
  <c r="O2" i="2"/>
  <c r="P2" i="2" s="1"/>
  <c r="P20" i="2" l="1"/>
</calcChain>
</file>

<file path=xl/sharedStrings.xml><?xml version="1.0" encoding="utf-8"?>
<sst xmlns="http://schemas.openxmlformats.org/spreadsheetml/2006/main" count="264" uniqueCount="190">
  <si>
    <t>Prospecting</t>
  </si>
  <si>
    <t>Blended</t>
  </si>
  <si>
    <t>Retargeting</t>
  </si>
  <si>
    <t>Creative Angle</t>
  </si>
  <si>
    <t>Budget (₹)</t>
  </si>
  <si>
    <t>Brand</t>
  </si>
  <si>
    <t>Value Proposition</t>
  </si>
  <si>
    <t>Comparison</t>
  </si>
  <si>
    <t>Before &amp; After</t>
  </si>
  <si>
    <t>User Feedback / UGC</t>
  </si>
  <si>
    <t>TOTAL</t>
  </si>
  <si>
    <t>Phase</t>
  </si>
  <si>
    <t>Start</t>
  </si>
  <si>
    <t>End</t>
  </si>
  <si>
    <t>Ghar Ki Safai, Paani Ki Shuddhi</t>
  </si>
  <si>
    <t>Naye Ghar Ke Liye Naya Paani</t>
  </si>
  <si>
    <t>The Water They Worship, The Water You Drink</t>
  </si>
  <si>
    <t>The Gift Every New Home Needs</t>
  </si>
  <si>
    <t>New Year, New Water</t>
  </si>
  <si>
    <t>Flight #</t>
  </si>
  <si>
    <t>Festival / Moment</t>
  </si>
  <si>
    <t>Campaign Name</t>
  </si>
  <si>
    <t>Funnel Stage</t>
  </si>
  <si>
    <t>Objective</t>
  </si>
  <si>
    <t>Audience</t>
  </si>
  <si>
    <t>Creative / Asset Source</t>
  </si>
  <si>
    <t>Offer / Hook</t>
  </si>
  <si>
    <t>CPA Tier</t>
  </si>
  <si>
    <t>Order Target</t>
  </si>
  <si>
    <t>Tier CPA (₹)</t>
  </si>
  <si>
    <t>Notes</t>
  </si>
  <si>
    <t>1a</t>
  </si>
  <si>
    <t>Ph1</t>
  </si>
  <si>
    <t>Ganesh Chaturthi</t>
  </si>
  <si>
    <t>Ganpati Bappa Morya, Hard Water Bhi Jaaye</t>
  </si>
  <si>
    <t>Launch / Prospecting</t>
  </si>
  <si>
    <t>Conversions</t>
  </si>
  <si>
    <t>Broad + home-improvement interest + 1% LAL (past purchasers)</t>
  </si>
  <si>
    <t>Reuse Ganesh Chaturthi “Ritual Breaker” brand-story assets already in production</t>
  </si>
  <si>
    <t>Festive launch offer / bundle pricing</t>
  </si>
  <si>
    <t>Hero launch moment — front-load creative variety</t>
  </si>
  <si>
    <t>1b</t>
  </si>
  <si>
    <t>Post-Ganeshotsav</t>
  </si>
  <si>
    <t>Ghar Ki Safai, Monsoon Ke Baad</t>
  </si>
  <si>
    <t>Prospecting scale</t>
  </si>
  <si>
    <t>Broad + interest + 3% LAL</t>
  </si>
  <si>
    <t>New static/carousel from the 45-concept library — leads with the core USP: salt-free, no plumbing/electricity, drop-in cartridge</t>
  </si>
  <si>
    <t>Standard price, “before Navratri” urgency</t>
  </si>
  <si>
    <t>1c</t>
  </si>
  <si>
    <t>Pre-Navratri</t>
  </si>
  <si>
    <t>Navratri Ki Tayaari Shuru</t>
  </si>
  <si>
    <t>30-day site visitors, ATC, cart abandoners, video viewers</t>
  </si>
  <si>
    <t>Dynamic retarget creative + Anand ji founder-video cutdown</t>
  </si>
  <si>
    <t>COD reminder / small retarget discount</t>
  </si>
  <si>
    <t>Teases into Phase 2</t>
  </si>
  <si>
    <t>2a</t>
  </si>
  <si>
    <t>Ph2</t>
  </si>
  <si>
    <t>9 Din, 9 Reasons</t>
  </si>
  <si>
    <t>Broad + interest (home care, festive cleaning) + LAL 3-5%</t>
  </si>
  <si>
    <t>New comparison carousel: Hard2Soft vs salt-based softener vs doing nothing, framed as 9 festive-prep reasons</t>
  </si>
  <si>
    <t>Standard price</t>
  </si>
  <si>
    <t>2b</t>
  </si>
  <si>
    <t>Navratri (9 nights)</t>
  </si>
  <si>
    <t>Prospecting + Retargeting blended</t>
  </si>
  <si>
    <t>Broad/LAL + all warm retarget pools</t>
  </si>
  <si>
    <t>Advantage+ / dynamic catalog if feed is ready; purity/fasting-season framing, minerals-retained USP called out</t>
  </si>
  <si>
    <t>Festive combo pack pricing</t>
  </si>
  <si>
    <t>Biggest push before Dussehra</t>
  </si>
  <si>
    <t>2c</t>
  </si>
  <si>
    <t>Dussehra</t>
  </si>
  <si>
    <t>Vijay Over Hard Water</t>
  </si>
  <si>
    <t>Retargeting + Lookalike, high intensity</t>
  </si>
  <si>
    <t>All 90-day retarget pools + 1-3% LAL</t>
  </si>
  <si>
    <t>1-day hero reel built from customer testimonial cutdowns, “victory over hard water” framing</t>
  </si>
  <si>
    <t>1-day flash offer</t>
  </si>
  <si>
    <t>Single-day hero moment</t>
  </si>
  <si>
    <t>3a</t>
  </si>
  <si>
    <t>Ph3</t>
  </si>
  <si>
    <t>Pre-Karva Chauth</t>
  </si>
  <si>
    <t>Gift Something That Lasts</t>
  </si>
  <si>
    <t>Broad + gifting/home interest + LAL</t>
  </si>
  <si>
    <t>New before/after carousel — scale-free tap, softer skin/hair — framed as the gift</t>
  </si>
  <si>
    <t>Gift pack (pack-of-2) pricing highlighted</t>
  </si>
  <si>
    <t>3b</t>
  </si>
  <si>
    <t>Karva Chauth</t>
  </si>
  <si>
    <t>Clear Water, Clear Pyaar</t>
  </si>
  <si>
    <t>Warm retarget pools</t>
  </si>
  <si>
    <t>1-day static, couple/home framing</t>
  </si>
  <si>
    <t>1-day offer</t>
  </si>
  <si>
    <t>Single-day moment</t>
  </si>
  <si>
    <t>3c</t>
  </si>
  <si>
    <t>Pre-Dhanteras run-up</t>
  </si>
  <si>
    <t>Prospecting scale-up + Lookalike</t>
  </si>
  <si>
    <t>Broad + LAL 1-5%, expanded budget</t>
  </si>
  <si>
    <t>Comparison creative: one-time drop-in vs recurring salt refills / plumber-installed softeners, framed as the auspicious new purchase</t>
  </si>
  <si>
    <t>Dhanteras pre-booking offer</t>
  </si>
  <si>
    <t>Budget scale-up begins here</t>
  </si>
  <si>
    <t>3d</t>
  </si>
  <si>
    <t>Dhanteras → Diwali</t>
  </si>
  <si>
    <t>Diwali Ka Sabse Bada Tohfa</t>
  </si>
  <si>
    <t>Full-funnel peak</t>
  </si>
  <si>
    <t>Advantage+ Shopping / dynamic catalog, all pools, broad + LAL</t>
  </si>
  <si>
    <t>Best-performing before/after assets (scale removal, hair/skin) from the season so far, refreshed with Diwali framing — highest-converting angle anchors the biggest flight</t>
  </si>
  <si>
    <t>Peak festive pricing / bundle offer</t>
  </si>
  <si>
    <t>SINGLE BIGGEST FLIGHT — maximum daily budget</t>
  </si>
  <si>
    <t>3e</t>
  </si>
  <si>
    <t>Govardhan Puja → Bhai Dooj</t>
  </si>
  <si>
    <t>Bhai Ke Ghar Ke Liye</t>
  </si>
  <si>
    <t>Retargeting + gifting extension</t>
  </si>
  <si>
    <t>Warm retarget + sibling-gifting interest layer</t>
  </si>
  <si>
    <t>Bhai Dooj gifting-angle static</t>
  </si>
  <si>
    <t>Post-Diwali extension offer</t>
  </si>
  <si>
    <t>4a</t>
  </si>
  <si>
    <t>Ph4</t>
  </si>
  <si>
    <t>Chhath Puja</t>
  </si>
  <si>
    <t>Brand + Conversion hybrid</t>
  </si>
  <si>
    <t>Broad + cultural/spiritual interest layers</t>
  </si>
  <si>
    <t>New brand creative: water-reverence framing (reverent tone, no overt selling in the hook)</t>
  </si>
  <si>
    <t>Standard offer, softer CTA</t>
  </si>
  <si>
    <t>Handle tone carefully — sacred ritual, not a promo moment</t>
  </si>
  <si>
    <t>4b</t>
  </si>
  <si>
    <t>Post-Chhath</t>
  </si>
  <si>
    <t>Chhath Ke Baad Bhi</t>
  </si>
  <si>
    <t>Retargeting extension</t>
  </si>
  <si>
    <t>Dynamic retarget</t>
  </si>
  <si>
    <t>Standard offer</t>
  </si>
  <si>
    <t>5a</t>
  </si>
  <si>
    <t>Ph5</t>
  </si>
  <si>
    <t>Wedding season begins</t>
  </si>
  <si>
    <t>Broad + newlywed/home-setup interest + LAL</t>
  </si>
  <si>
    <t>New brand-trust creative: “the gift every new home needs” story, wedding-gifting set</t>
  </si>
  <si>
    <t>Wedding gift bundle pricing</t>
  </si>
  <si>
    <t>5b</t>
  </si>
  <si>
    <t>Winter</t>
  </si>
  <si>
    <t>Sardi Mein Bhi Soft Paani</t>
  </si>
  <si>
    <t>Conversion push</t>
  </si>
  <si>
    <t>Broad + interest (skincare/haircare) + LAL</t>
  </si>
  <si>
    <t>Comparison creative: winter skin/hair with vs without Hard2Soft</t>
  </si>
  <si>
    <t>5c</t>
  </si>
  <si>
    <t>Pre-Christmas</t>
  </si>
  <si>
    <t>Christmas Se Pehle</t>
  </si>
  <si>
    <t>Retargeting + Lookalike scale</t>
  </si>
  <si>
    <t>All warm pools + LAL 1-5%</t>
  </si>
  <si>
    <t>Customer review/UGC compilation reel, reusing top Phase 3 performers with a winter/Christmas edit</t>
  </si>
  <si>
    <t>Pre-Christmas offer</t>
  </si>
  <si>
    <t>6a</t>
  </si>
  <si>
    <t>Ph6</t>
  </si>
  <si>
    <t>Christmas</t>
  </si>
  <si>
    <t>Give The Gift of Soft Water This Christmas</t>
  </si>
  <si>
    <t>Gifting peak</t>
  </si>
  <si>
    <t>Broad + gifting interest + all retarget pools</t>
  </si>
  <si>
    <t>Before/after gifting carousel, Christmas-themed</t>
  </si>
  <si>
    <t>Christmas gift-pack offer</t>
  </si>
  <si>
    <t>6b</t>
  </si>
  <si>
    <t>New Year's Eve</t>
  </si>
  <si>
    <t>Retargeting clearance push</t>
  </si>
  <si>
    <t>All 90-day retarget pools, maximum frequency</t>
  </si>
  <si>
    <t>“Resolution” angle static + Anand ji closing-the-year founder video</t>
  </si>
  <si>
    <t>Year-end clearance offer</t>
  </si>
  <si>
    <t>Final push to close the year at target</t>
  </si>
  <si>
    <t>Window #</t>
  </si>
  <si>
    <t>Theme</t>
  </si>
  <si>
    <t>Target Keywords (Phrase / Exact match)</t>
  </si>
  <si>
    <t>Match Type</t>
  </si>
  <si>
    <t>Campaign Type</t>
  </si>
  <si>
    <t>Monthly Budget (₹)</t>
  </si>
  <si>
    <t>Lead Focus / Notes</t>
  </si>
  <si>
    <t>G1</t>
  </si>
  <si>
    <t>Evergreen intent capture</t>
  </si>
  <si>
    <t>“water softener for borewell water”, “salt free water softener india”, “descaler for overhead water tank”, “hard water solution for hair fall”, “best water conditioner for apartment”, “how to soften hard water at home”, “water softener without electricity”</t>
  </si>
  <si>
    <t>Phrase + Exact only</t>
  </si>
  <si>
    <t>Search + Lead Form</t>
  </si>
  <si>
    <t>Standard D2C lead capture, callback offer for the hesitant-to-COD segment</t>
  </si>
  <si>
    <t>G2</t>
  </si>
  <si>
    <t>Festive home-readiness</t>
  </si>
  <si>
    <t>“hard water tank cleaning before diwali”, “remove limescale from water tank”, “protect geyser from hard water”, “best water softener before festive season”</t>
  </si>
  <si>
    <t>Lower volume, cheap and precise — don't raise budget just because it's festive season</t>
  </si>
  <si>
    <t>G3</t>
  </si>
  <si>
    <t>Diwali home upgrade &amp; gifting</t>
  </si>
  <si>
    <t>“dhanteras home appliance shopping”, “diwali gift for new home”, “new home essentials checklist india”, “best diwali home upgrade products”, “water conditioner gift pack”</t>
  </si>
  <si>
    <t>Dhanteras ‘buy something new’ search surge — budget stays flat, just retarget the keyword set</t>
  </si>
  <si>
    <t>G4</t>
  </si>
  <si>
    <t>Bulk / corporate &amp; wedding season</t>
  </si>
  <si>
    <t>“bulk water softener order india”, “hotel hard water solution”, “PG hostel hard water treatment”, “water conditioner for hotels and PG”, “corporate water treatment solution”, “new home water setup after wedding”</t>
  </si>
  <si>
    <t>Search + Lead Form (bulk enquiry)</t>
  </si>
  <si>
    <t>Ties into the existing LinkedIn B2B push — route qualified bulk leads to the same funnel</t>
  </si>
  <si>
    <t>G5</t>
  </si>
  <si>
    <t>New Year home upgrade</t>
  </si>
  <si>
    <t>“new year home upgrade ideas india”, “best home appliances to buy 2027”</t>
  </si>
  <si>
    <t>Closing window; keep spend flat through year-end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</si>
</sst>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
    <numFmt numFmtId="165" formatCode="\₹#,##0"/>
  </numFmts>
  <fonts count="11" x14ac:knownFonts="1">
    <font>
      <sz val="11"/>
      <color theme="1"/>
      <name val="Calibri"/>
      <family val="2"/>
      <charset val="1"/>
    </font>
    <font>
      <sz val="10"/>
      <color rgb="FF000000"/>
      <name val="Arial"/>
      <charset val="1"/>
    </font>
    <font>
      <b/>
      <sz val="10"/>
      <color rgb="FFFFFFFF"/>
      <name val="Arial"/>
      <charset val="1"/>
    </font>
    <font>
      <b/>
      <sz val="10"/>
      <color rgb="FF000000"/>
      <name val="Arial"/>
      <charset val="1"/>
    </font>
    <font>
      <b/>
      <sz val="10"/>
      <color rgb="FF1B3A5C"/>
      <name val="Arial"/>
      <charset val="1"/>
    </font>
    <font>
      <b/>
      <sz val="10"/>
      <color rgb="FF0E7C86"/>
      <name val="Arial"/>
      <charset val="1"/>
    </font>
    <font>
      <b/>
      <sz val="10"/>
      <color rgb="FF8A5A00"/>
      <name val="Arial"/>
      <charset val="1"/>
    </font>
    <font>
      <b/>
      <sz val="10"/>
      <color rgb="FFB03A2E"/>
      <name val="Arial"/>
      <charset val="1"/>
    </font>
    <font>
      <b/>
      <sz val="10"/>
      <color rgb="FF2E7D32"/>
      <name val="Arial"/>
      <charset val="1"/>
    </font>
    <font>
      <b/>
      <sz val="10"/>
      <color rgb="FF5B3A6E"/>
      <name val="Arial"/>
      <charset val="1"/>
    </font>
    <font>
      <b/>
      <i/>
      <sz val="10"/>
      <color rgb="FF000000"/>
      <name val="Arial"/>
      <charset val="1"/>
    </font>
  </fonts>
  <fills count="7">
    <fill>
      <patternFill patternType="none"/>
    </fill>
    <fill>
      <patternFill patternType="gray125"/>
    </fill>
    <fill>
      <patternFill patternType="solid">
        <fgColor rgb="FF1B3A5C"/>
        <bgColor rgb="FF333333"/>
      </patternFill>
    </fill>
    <fill>
      <patternFill patternType="solid">
        <fgColor rgb="FFE3F1E1"/>
        <bgColor rgb="FFD9EAD3"/>
      </patternFill>
    </fill>
    <fill>
      <patternFill patternType="solid">
        <fgColor rgb="FFFDE9C8"/>
        <bgColor rgb="FFE3F1E1"/>
      </patternFill>
    </fill>
    <fill>
      <patternFill patternType="solid">
        <fgColor rgb="FFFFFFFF"/>
        <bgColor rgb="FFE3F1E1"/>
      </patternFill>
    </fill>
    <fill>
      <patternFill patternType="solid">
        <fgColor rgb="FF0E7C86"/>
        <bgColor rgb="FF008080"/>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7">
    <xf numFmtId="0" fontId="0" fillId="0" borderId="0" xfId="0"/>
    <xf numFmtId="165" fontId="1" fillId="0" borderId="1" xfId="0" applyNumberFormat="1" applyFont="1" applyBorder="1" applyAlignment="1">
      <alignment horizontal="right" vertical="center"/>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164" fontId="1" fillId="3" borderId="1" xfId="0" applyNumberFormat="1" applyFont="1" applyFill="1" applyBorder="1" applyAlignment="1">
      <alignment horizontal="center" vertical="center"/>
    </xf>
    <xf numFmtId="0" fontId="1" fillId="3" borderId="1" xfId="0" applyFont="1" applyFill="1" applyBorder="1" applyAlignment="1">
      <alignment horizontal="left" vertical="center" wrapText="1"/>
    </xf>
    <xf numFmtId="3" fontId="1" fillId="3" borderId="1" xfId="0" applyNumberFormat="1" applyFont="1" applyFill="1" applyBorder="1" applyAlignment="1">
      <alignment horizontal="right" vertical="center"/>
    </xf>
    <xf numFmtId="165" fontId="1" fillId="3" borderId="1" xfId="0" applyNumberFormat="1" applyFont="1" applyFill="1" applyBorder="1" applyAlignment="1">
      <alignment horizontal="right" vertical="center"/>
    </xf>
    <xf numFmtId="164" fontId="1" fillId="4" borderId="1" xfId="0" applyNumberFormat="1" applyFont="1" applyFill="1" applyBorder="1" applyAlignment="1">
      <alignment horizontal="center" vertical="center"/>
    </xf>
    <xf numFmtId="0" fontId="1" fillId="4" borderId="1" xfId="0" applyFont="1" applyFill="1" applyBorder="1" applyAlignment="1">
      <alignment horizontal="left" vertical="center" wrapText="1"/>
    </xf>
    <xf numFmtId="3" fontId="1" fillId="4" borderId="1" xfId="0" applyNumberFormat="1" applyFont="1" applyFill="1" applyBorder="1" applyAlignment="1">
      <alignment horizontal="right" vertical="center"/>
    </xf>
    <xf numFmtId="165" fontId="1" fillId="4" borderId="1" xfId="0" applyNumberFormat="1" applyFont="1" applyFill="1" applyBorder="1" applyAlignment="1">
      <alignment horizontal="right" vertical="center"/>
    </xf>
    <xf numFmtId="0" fontId="2" fillId="2" borderId="1" xfId="0" applyFont="1" applyFill="1" applyBorder="1" applyAlignment="1">
      <alignment horizontal="left" vertical="center"/>
    </xf>
    <xf numFmtId="0" fontId="0" fillId="2" borderId="0" xfId="0" applyFill="1"/>
    <xf numFmtId="3" fontId="2" fillId="2" borderId="1" xfId="0" applyNumberFormat="1" applyFont="1" applyFill="1" applyBorder="1" applyAlignment="1">
      <alignment horizontal="right" vertical="center"/>
    </xf>
    <xf numFmtId="165" fontId="2" fillId="2" borderId="1" xfId="0" applyNumberFormat="1" applyFont="1" applyFill="1" applyBorder="1" applyAlignment="1">
      <alignment horizontal="right" vertical="center"/>
    </xf>
    <xf numFmtId="0" fontId="3" fillId="4" borderId="1" xfId="0" applyFont="1" applyFill="1" applyBorder="1" applyAlignment="1">
      <alignment horizontal="center" vertical="center"/>
    </xf>
    <xf numFmtId="0" fontId="1" fillId="4"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1" fillId="3" borderId="1" xfId="0" applyFont="1" applyFill="1" applyBorder="1" applyAlignment="1">
      <alignment horizontal="center" vertical="center"/>
    </xf>
    <xf numFmtId="0" fontId="10" fillId="3" borderId="1" xfId="0" applyFont="1" applyFill="1" applyBorder="1" applyAlignment="1">
      <alignment horizontal="left" vertical="center" wrapText="1"/>
    </xf>
    <xf numFmtId="0" fontId="5" fillId="3" borderId="1" xfId="0" applyFont="1" applyFill="1" applyBorder="1" applyAlignment="1">
      <alignment horizontal="center" vertical="center" wrapText="1"/>
    </xf>
    <xf numFmtId="0" fontId="3"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9" fillId="5" borderId="1" xfId="0" applyFont="1" applyFill="1" applyBorder="1" applyAlignment="1">
      <alignment horizontal="center" vertical="center" wrapText="1"/>
    </xf>
    <xf numFmtId="3" fontId="1" fillId="5" borderId="1" xfId="0" applyNumberFormat="1" applyFont="1" applyFill="1" applyBorder="1" applyAlignment="1">
      <alignment horizontal="right" vertical="center"/>
    </xf>
    <xf numFmtId="165" fontId="1" fillId="5" borderId="1" xfId="0" applyNumberFormat="1" applyFont="1" applyFill="1" applyBorder="1" applyAlignment="1">
      <alignment horizontal="right" vertical="center"/>
    </xf>
    <xf numFmtId="0" fontId="6"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 fillId="2" borderId="1" xfId="0" applyFont="1" applyFill="1" applyBorder="1" applyAlignment="1">
      <alignment horizontal="left" vertical="center"/>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A5A00"/>
      <rgbColor rgb="FF800080"/>
      <rgbColor rgb="FF0E7C86"/>
      <rgbColor rgb="FFC0C0C0"/>
      <rgbColor rgb="FF808080"/>
      <rgbColor rgb="FF9999FF"/>
      <rgbColor rgb="FF993366"/>
      <rgbColor rgb="FFFDE9C8"/>
      <rgbColor rgb="FFE3F1E1"/>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B3A5C"/>
      <rgbColor rgb="FF2E7D32"/>
      <rgbColor rgb="FF003300"/>
      <rgbColor rgb="FF333300"/>
      <rgbColor rgb="FFB03A2E"/>
      <rgbColor rgb="FF993366"/>
      <rgbColor rgb="FF5B3A6E"/>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0"/>
  <sheetViews>
    <sheetView tabSelected="1" zoomScaleNormal="100" workbookViewId="0">
      <pane ySplit="1" topLeftCell="A2" activePane="bottomLeft" state="frozen"/>
      <selection pane="bottomLeft" sqref="A1:XFD3"/>
    </sheetView>
  </sheetViews>
  <sheetFormatPr defaultColWidth="8.6640625" defaultRowHeight="14.4" x14ac:dyDescent="0.3"/>
  <cols>
    <col min="1" max="1" width="7" customWidth="1"/>
    <col min="2" max="3" width="11" customWidth="1"/>
    <col min="4" max="4" width="6" customWidth="1"/>
    <col min="5" max="5" width="16" customWidth="1"/>
    <col min="6" max="6" width="22" customWidth="1"/>
    <col min="7" max="7" width="14" customWidth="1"/>
    <col min="8" max="8" width="13" customWidth="1"/>
    <col min="9" max="9" width="11" customWidth="1"/>
    <col min="10" max="10" width="20" customWidth="1"/>
    <col min="11" max="11" width="26" customWidth="1"/>
    <col min="12" max="12" width="16" customWidth="1"/>
    <col min="13" max="15" width="10" customWidth="1"/>
    <col min="16" max="16" width="11" customWidth="1"/>
    <col min="17" max="17" width="22" customWidth="1"/>
  </cols>
  <sheetData>
    <row r="1" spans="1:17" ht="26.4" x14ac:dyDescent="0.3">
      <c r="A1" s="3" t="s">
        <v>19</v>
      </c>
      <c r="B1" s="3" t="s">
        <v>12</v>
      </c>
      <c r="C1" s="3" t="s">
        <v>13</v>
      </c>
      <c r="D1" s="3" t="s">
        <v>11</v>
      </c>
      <c r="E1" s="3" t="s">
        <v>20</v>
      </c>
      <c r="F1" s="3" t="s">
        <v>21</v>
      </c>
      <c r="G1" s="3" t="s">
        <v>22</v>
      </c>
      <c r="H1" s="3" t="s">
        <v>3</v>
      </c>
      <c r="I1" s="3" t="s">
        <v>23</v>
      </c>
      <c r="J1" s="3" t="s">
        <v>24</v>
      </c>
      <c r="K1" s="3" t="s">
        <v>25</v>
      </c>
      <c r="L1" s="3" t="s">
        <v>26</v>
      </c>
      <c r="M1" s="3" t="s">
        <v>27</v>
      </c>
      <c r="N1" s="3" t="s">
        <v>28</v>
      </c>
      <c r="O1" s="3" t="s">
        <v>29</v>
      </c>
      <c r="P1" s="3" t="s">
        <v>4</v>
      </c>
      <c r="Q1" s="3" t="s">
        <v>30</v>
      </c>
    </row>
    <row r="2" spans="1:17" ht="49.5" customHeight="1" x14ac:dyDescent="0.3">
      <c r="A2" s="16" t="s">
        <v>31</v>
      </c>
      <c r="B2" s="8">
        <v>46279</v>
      </c>
      <c r="C2" s="8">
        <v>46282</v>
      </c>
      <c r="D2" s="17" t="s">
        <v>32</v>
      </c>
      <c r="E2" s="9" t="s">
        <v>33</v>
      </c>
      <c r="F2" s="18" t="s">
        <v>34</v>
      </c>
      <c r="G2" s="9" t="s">
        <v>35</v>
      </c>
      <c r="H2" s="19" t="s">
        <v>5</v>
      </c>
      <c r="I2" s="17" t="s">
        <v>36</v>
      </c>
      <c r="J2" s="9" t="s">
        <v>37</v>
      </c>
      <c r="K2" s="9" t="s">
        <v>38</v>
      </c>
      <c r="L2" s="9" t="s">
        <v>39</v>
      </c>
      <c r="M2" s="16" t="s">
        <v>0</v>
      </c>
      <c r="N2" s="10">
        <v>40</v>
      </c>
      <c r="O2" s="11" t="e">
        <f>INDEX(#REF!,MATCH(M2,#REF!,0))</f>
        <v>#REF!</v>
      </c>
      <c r="P2" s="11" t="e">
        <f t="shared" ref="P2:P19" si="0">N2*O2</f>
        <v>#REF!</v>
      </c>
      <c r="Q2" s="9" t="s">
        <v>40</v>
      </c>
    </row>
    <row r="3" spans="1:17" ht="49.5" customHeight="1" x14ac:dyDescent="0.3">
      <c r="A3" s="20" t="s">
        <v>41</v>
      </c>
      <c r="B3" s="4">
        <v>46283</v>
      </c>
      <c r="C3" s="4">
        <v>46289</v>
      </c>
      <c r="D3" s="21" t="s">
        <v>32</v>
      </c>
      <c r="E3" s="5" t="s">
        <v>42</v>
      </c>
      <c r="F3" s="22" t="s">
        <v>43</v>
      </c>
      <c r="G3" s="5" t="s">
        <v>44</v>
      </c>
      <c r="H3" s="23" t="s">
        <v>6</v>
      </c>
      <c r="I3" s="21" t="s">
        <v>36</v>
      </c>
      <c r="J3" s="5" t="s">
        <v>45</v>
      </c>
      <c r="K3" s="5" t="s">
        <v>46</v>
      </c>
      <c r="L3" s="5" t="s">
        <v>47</v>
      </c>
      <c r="M3" s="20" t="s">
        <v>0</v>
      </c>
      <c r="N3" s="6">
        <v>60</v>
      </c>
      <c r="O3" s="7" t="e">
        <f>INDEX(#REF!,MATCH(M3,#REF!,0))</f>
        <v>#REF!</v>
      </c>
      <c r="P3" s="7" t="e">
        <f t="shared" si="0"/>
        <v>#REF!</v>
      </c>
      <c r="Q3" s="5"/>
    </row>
    <row r="4" spans="1:17" ht="49.5" customHeight="1" x14ac:dyDescent="0.3">
      <c r="A4" s="24" t="s">
        <v>48</v>
      </c>
      <c r="B4" s="25">
        <v>46290</v>
      </c>
      <c r="C4" s="25">
        <v>46295</v>
      </c>
      <c r="D4" s="26" t="s">
        <v>32</v>
      </c>
      <c r="E4" s="27" t="s">
        <v>49</v>
      </c>
      <c r="F4" s="28" t="s">
        <v>50</v>
      </c>
      <c r="G4" s="27" t="s">
        <v>2</v>
      </c>
      <c r="H4" s="29" t="s">
        <v>2</v>
      </c>
      <c r="I4" s="26" t="s">
        <v>36</v>
      </c>
      <c r="J4" s="27" t="s">
        <v>51</v>
      </c>
      <c r="K4" s="27" t="s">
        <v>52</v>
      </c>
      <c r="L4" s="27" t="s">
        <v>53</v>
      </c>
      <c r="M4" s="24" t="s">
        <v>2</v>
      </c>
      <c r="N4" s="30">
        <v>50</v>
      </c>
      <c r="O4" s="31" t="e">
        <f>INDEX(#REF!,MATCH(M4,#REF!,0))</f>
        <v>#REF!</v>
      </c>
      <c r="P4" s="31" t="e">
        <f t="shared" si="0"/>
        <v>#REF!</v>
      </c>
      <c r="Q4" s="27" t="s">
        <v>54</v>
      </c>
    </row>
    <row r="5" spans="1:17" ht="49.5" customHeight="1" x14ac:dyDescent="0.3">
      <c r="A5" s="20" t="s">
        <v>55</v>
      </c>
      <c r="B5" s="4">
        <v>46296</v>
      </c>
      <c r="C5" s="4">
        <v>46305</v>
      </c>
      <c r="D5" s="21" t="s">
        <v>56</v>
      </c>
      <c r="E5" s="5" t="s">
        <v>49</v>
      </c>
      <c r="F5" s="22" t="s">
        <v>57</v>
      </c>
      <c r="G5" s="5" t="s">
        <v>0</v>
      </c>
      <c r="H5" s="32" t="s">
        <v>7</v>
      </c>
      <c r="I5" s="21" t="s">
        <v>36</v>
      </c>
      <c r="J5" s="5" t="s">
        <v>58</v>
      </c>
      <c r="K5" s="5" t="s">
        <v>59</v>
      </c>
      <c r="L5" s="5" t="s">
        <v>60</v>
      </c>
      <c r="M5" s="20" t="s">
        <v>0</v>
      </c>
      <c r="N5" s="6">
        <v>100</v>
      </c>
      <c r="O5" s="7" t="e">
        <f>INDEX(#REF!,MATCH(M5,#REF!,0))</f>
        <v>#REF!</v>
      </c>
      <c r="P5" s="7" t="e">
        <f t="shared" si="0"/>
        <v>#REF!</v>
      </c>
      <c r="Q5" s="5"/>
    </row>
    <row r="6" spans="1:17" ht="49.5" customHeight="1" x14ac:dyDescent="0.3">
      <c r="A6" s="20" t="s">
        <v>61</v>
      </c>
      <c r="B6" s="4">
        <v>46306</v>
      </c>
      <c r="C6" s="4">
        <v>46314</v>
      </c>
      <c r="D6" s="21" t="s">
        <v>56</v>
      </c>
      <c r="E6" s="5" t="s">
        <v>62</v>
      </c>
      <c r="F6" s="22" t="s">
        <v>14</v>
      </c>
      <c r="G6" s="5" t="s">
        <v>63</v>
      </c>
      <c r="H6" s="23" t="s">
        <v>6</v>
      </c>
      <c r="I6" s="21" t="s">
        <v>36</v>
      </c>
      <c r="J6" s="5" t="s">
        <v>64</v>
      </c>
      <c r="K6" s="5" t="s">
        <v>65</v>
      </c>
      <c r="L6" s="5" t="s">
        <v>66</v>
      </c>
      <c r="M6" s="20" t="s">
        <v>1</v>
      </c>
      <c r="N6" s="6">
        <v>140</v>
      </c>
      <c r="O6" s="7" t="e">
        <f>INDEX(#REF!,MATCH(M6,#REF!,0))</f>
        <v>#REF!</v>
      </c>
      <c r="P6" s="7" t="e">
        <f t="shared" si="0"/>
        <v>#REF!</v>
      </c>
      <c r="Q6" s="5" t="s">
        <v>67</v>
      </c>
    </row>
    <row r="7" spans="1:17" ht="49.5" customHeight="1" x14ac:dyDescent="0.3">
      <c r="A7" s="16" t="s">
        <v>68</v>
      </c>
      <c r="B7" s="8">
        <v>46315</v>
      </c>
      <c r="C7" s="8">
        <v>46315</v>
      </c>
      <c r="D7" s="17" t="s">
        <v>56</v>
      </c>
      <c r="E7" s="9" t="s">
        <v>69</v>
      </c>
      <c r="F7" s="18" t="s">
        <v>70</v>
      </c>
      <c r="G7" s="9" t="s">
        <v>71</v>
      </c>
      <c r="H7" s="33" t="s">
        <v>9</v>
      </c>
      <c r="I7" s="17" t="s">
        <v>36</v>
      </c>
      <c r="J7" s="9" t="s">
        <v>72</v>
      </c>
      <c r="K7" s="9" t="s">
        <v>73</v>
      </c>
      <c r="L7" s="9" t="s">
        <v>74</v>
      </c>
      <c r="M7" s="16" t="s">
        <v>1</v>
      </c>
      <c r="N7" s="10">
        <v>60</v>
      </c>
      <c r="O7" s="11" t="e">
        <f>INDEX(#REF!,MATCH(M7,#REF!,0))</f>
        <v>#REF!</v>
      </c>
      <c r="P7" s="11" t="e">
        <f t="shared" si="0"/>
        <v>#REF!</v>
      </c>
      <c r="Q7" s="9" t="s">
        <v>75</v>
      </c>
    </row>
    <row r="8" spans="1:17" ht="49.5" customHeight="1" x14ac:dyDescent="0.3">
      <c r="A8" s="20" t="s">
        <v>76</v>
      </c>
      <c r="B8" s="4">
        <v>46316</v>
      </c>
      <c r="C8" s="4">
        <v>46323</v>
      </c>
      <c r="D8" s="21" t="s">
        <v>77</v>
      </c>
      <c r="E8" s="5" t="s">
        <v>78</v>
      </c>
      <c r="F8" s="22" t="s">
        <v>79</v>
      </c>
      <c r="G8" s="5" t="s">
        <v>0</v>
      </c>
      <c r="H8" s="34" t="s">
        <v>8</v>
      </c>
      <c r="I8" s="21" t="s">
        <v>36</v>
      </c>
      <c r="J8" s="5" t="s">
        <v>80</v>
      </c>
      <c r="K8" s="5" t="s">
        <v>81</v>
      </c>
      <c r="L8" s="5" t="s">
        <v>82</v>
      </c>
      <c r="M8" s="20" t="s">
        <v>0</v>
      </c>
      <c r="N8" s="6">
        <v>100</v>
      </c>
      <c r="O8" s="7" t="e">
        <f>INDEX(#REF!,MATCH(M8,#REF!,0))</f>
        <v>#REF!</v>
      </c>
      <c r="P8" s="7" t="e">
        <f t="shared" si="0"/>
        <v>#REF!</v>
      </c>
      <c r="Q8" s="5"/>
    </row>
    <row r="9" spans="1:17" ht="49.5" customHeight="1" x14ac:dyDescent="0.3">
      <c r="A9" s="16" t="s">
        <v>83</v>
      </c>
      <c r="B9" s="8">
        <v>46324</v>
      </c>
      <c r="C9" s="8">
        <v>46324</v>
      </c>
      <c r="D9" s="17" t="s">
        <v>77</v>
      </c>
      <c r="E9" s="9" t="s">
        <v>84</v>
      </c>
      <c r="F9" s="18" t="s">
        <v>85</v>
      </c>
      <c r="G9" s="9" t="s">
        <v>2</v>
      </c>
      <c r="H9" s="35" t="s">
        <v>2</v>
      </c>
      <c r="I9" s="17" t="s">
        <v>36</v>
      </c>
      <c r="J9" s="9" t="s">
        <v>86</v>
      </c>
      <c r="K9" s="9" t="s">
        <v>87</v>
      </c>
      <c r="L9" s="9" t="s">
        <v>88</v>
      </c>
      <c r="M9" s="16" t="s">
        <v>2</v>
      </c>
      <c r="N9" s="10">
        <v>30</v>
      </c>
      <c r="O9" s="11" t="e">
        <f>INDEX(#REF!,MATCH(M9,#REF!,0))</f>
        <v>#REF!</v>
      </c>
      <c r="P9" s="11" t="e">
        <f t="shared" si="0"/>
        <v>#REF!</v>
      </c>
      <c r="Q9" s="9" t="s">
        <v>89</v>
      </c>
    </row>
    <row r="10" spans="1:17" ht="49.5" customHeight="1" x14ac:dyDescent="0.3">
      <c r="A10" s="20" t="s">
        <v>90</v>
      </c>
      <c r="B10" s="4">
        <v>46325</v>
      </c>
      <c r="C10" s="4">
        <v>46331</v>
      </c>
      <c r="D10" s="21" t="s">
        <v>77</v>
      </c>
      <c r="E10" s="5" t="s">
        <v>91</v>
      </c>
      <c r="F10" s="22" t="s">
        <v>15</v>
      </c>
      <c r="G10" s="5" t="s">
        <v>92</v>
      </c>
      <c r="H10" s="32" t="s">
        <v>7</v>
      </c>
      <c r="I10" s="21" t="s">
        <v>36</v>
      </c>
      <c r="J10" s="5" t="s">
        <v>93</v>
      </c>
      <c r="K10" s="5" t="s">
        <v>94</v>
      </c>
      <c r="L10" s="5" t="s">
        <v>95</v>
      </c>
      <c r="M10" s="20" t="s">
        <v>1</v>
      </c>
      <c r="N10" s="6">
        <v>180</v>
      </c>
      <c r="O10" s="7" t="e">
        <f>INDEX(#REF!,MATCH(M10,#REF!,0))</f>
        <v>#REF!</v>
      </c>
      <c r="P10" s="7" t="e">
        <f t="shared" si="0"/>
        <v>#REF!</v>
      </c>
      <c r="Q10" s="5" t="s">
        <v>96</v>
      </c>
    </row>
    <row r="11" spans="1:17" ht="49.5" customHeight="1" x14ac:dyDescent="0.3">
      <c r="A11" s="16" t="s">
        <v>97</v>
      </c>
      <c r="B11" s="8">
        <v>46332</v>
      </c>
      <c r="C11" s="8">
        <v>46334</v>
      </c>
      <c r="D11" s="17" t="s">
        <v>77</v>
      </c>
      <c r="E11" s="9" t="s">
        <v>98</v>
      </c>
      <c r="F11" s="18" t="s">
        <v>99</v>
      </c>
      <c r="G11" s="9" t="s">
        <v>100</v>
      </c>
      <c r="H11" s="36" t="s">
        <v>8</v>
      </c>
      <c r="I11" s="17" t="s">
        <v>36</v>
      </c>
      <c r="J11" s="9" t="s">
        <v>101</v>
      </c>
      <c r="K11" s="9" t="s">
        <v>102</v>
      </c>
      <c r="L11" s="9" t="s">
        <v>103</v>
      </c>
      <c r="M11" s="16" t="s">
        <v>1</v>
      </c>
      <c r="N11" s="10">
        <v>250</v>
      </c>
      <c r="O11" s="11" t="e">
        <f>INDEX(#REF!,MATCH(M11,#REF!,0))</f>
        <v>#REF!</v>
      </c>
      <c r="P11" s="11" t="e">
        <f t="shared" si="0"/>
        <v>#REF!</v>
      </c>
      <c r="Q11" s="9" t="s">
        <v>104</v>
      </c>
    </row>
    <row r="12" spans="1:17" ht="49.5" customHeight="1" x14ac:dyDescent="0.3">
      <c r="A12" s="20" t="s">
        <v>105</v>
      </c>
      <c r="B12" s="4">
        <v>46335</v>
      </c>
      <c r="C12" s="4">
        <v>46338</v>
      </c>
      <c r="D12" s="21" t="s">
        <v>77</v>
      </c>
      <c r="E12" s="5" t="s">
        <v>106</v>
      </c>
      <c r="F12" s="22" t="s">
        <v>107</v>
      </c>
      <c r="G12" s="5" t="s">
        <v>108</v>
      </c>
      <c r="H12" s="37" t="s">
        <v>2</v>
      </c>
      <c r="I12" s="21" t="s">
        <v>36</v>
      </c>
      <c r="J12" s="5" t="s">
        <v>109</v>
      </c>
      <c r="K12" s="5" t="s">
        <v>110</v>
      </c>
      <c r="L12" s="5" t="s">
        <v>111</v>
      </c>
      <c r="M12" s="20" t="s">
        <v>2</v>
      </c>
      <c r="N12" s="6">
        <v>140</v>
      </c>
      <c r="O12" s="7" t="e">
        <f>INDEX(#REF!,MATCH(M12,#REF!,0))</f>
        <v>#REF!</v>
      </c>
      <c r="P12" s="7" t="e">
        <f t="shared" si="0"/>
        <v>#REF!</v>
      </c>
      <c r="Q12" s="5"/>
    </row>
    <row r="13" spans="1:17" ht="49.5" customHeight="1" x14ac:dyDescent="0.3">
      <c r="A13" s="16" t="s">
        <v>112</v>
      </c>
      <c r="B13" s="8">
        <v>46339</v>
      </c>
      <c r="C13" s="8">
        <v>46341</v>
      </c>
      <c r="D13" s="17" t="s">
        <v>113</v>
      </c>
      <c r="E13" s="9" t="s">
        <v>114</v>
      </c>
      <c r="F13" s="18" t="s">
        <v>16</v>
      </c>
      <c r="G13" s="9" t="s">
        <v>115</v>
      </c>
      <c r="H13" s="19" t="s">
        <v>5</v>
      </c>
      <c r="I13" s="17" t="s">
        <v>36</v>
      </c>
      <c r="J13" s="9" t="s">
        <v>116</v>
      </c>
      <c r="K13" s="9" t="s">
        <v>117</v>
      </c>
      <c r="L13" s="9" t="s">
        <v>118</v>
      </c>
      <c r="M13" s="16" t="s">
        <v>0</v>
      </c>
      <c r="N13" s="10">
        <v>90</v>
      </c>
      <c r="O13" s="11" t="e">
        <f>INDEX(#REF!,MATCH(M13,#REF!,0))</f>
        <v>#REF!</v>
      </c>
      <c r="P13" s="11" t="e">
        <f t="shared" si="0"/>
        <v>#REF!</v>
      </c>
      <c r="Q13" s="9" t="s">
        <v>119</v>
      </c>
    </row>
    <row r="14" spans="1:17" ht="49.5" customHeight="1" x14ac:dyDescent="0.3">
      <c r="A14" s="24" t="s">
        <v>120</v>
      </c>
      <c r="B14" s="25">
        <v>46342</v>
      </c>
      <c r="C14" s="25">
        <v>46346</v>
      </c>
      <c r="D14" s="26" t="s">
        <v>113</v>
      </c>
      <c r="E14" s="27" t="s">
        <v>121</v>
      </c>
      <c r="F14" s="28" t="s">
        <v>122</v>
      </c>
      <c r="G14" s="27" t="s">
        <v>123</v>
      </c>
      <c r="H14" s="29" t="s">
        <v>2</v>
      </c>
      <c r="I14" s="26" t="s">
        <v>36</v>
      </c>
      <c r="J14" s="27" t="s">
        <v>86</v>
      </c>
      <c r="K14" s="27" t="s">
        <v>124</v>
      </c>
      <c r="L14" s="27" t="s">
        <v>125</v>
      </c>
      <c r="M14" s="24" t="s">
        <v>2</v>
      </c>
      <c r="N14" s="30">
        <v>60</v>
      </c>
      <c r="O14" s="31" t="e">
        <f>INDEX(#REF!,MATCH(M14,#REF!,0))</f>
        <v>#REF!</v>
      </c>
      <c r="P14" s="31" t="e">
        <f t="shared" si="0"/>
        <v>#REF!</v>
      </c>
      <c r="Q14" s="27"/>
    </row>
    <row r="15" spans="1:17" ht="49.5" customHeight="1" x14ac:dyDescent="0.3">
      <c r="A15" s="24" t="s">
        <v>126</v>
      </c>
      <c r="B15" s="25">
        <v>46347</v>
      </c>
      <c r="C15" s="25">
        <v>46356</v>
      </c>
      <c r="D15" s="26" t="s">
        <v>127</v>
      </c>
      <c r="E15" s="27" t="s">
        <v>128</v>
      </c>
      <c r="F15" s="28" t="s">
        <v>17</v>
      </c>
      <c r="G15" s="27" t="s">
        <v>0</v>
      </c>
      <c r="H15" s="38" t="s">
        <v>5</v>
      </c>
      <c r="I15" s="26" t="s">
        <v>36</v>
      </c>
      <c r="J15" s="27" t="s">
        <v>129</v>
      </c>
      <c r="K15" s="27" t="s">
        <v>130</v>
      </c>
      <c r="L15" s="27" t="s">
        <v>131</v>
      </c>
      <c r="M15" s="24" t="s">
        <v>0</v>
      </c>
      <c r="N15" s="30">
        <v>130</v>
      </c>
      <c r="O15" s="31" t="e">
        <f>INDEX(#REF!,MATCH(M15,#REF!,0))</f>
        <v>#REF!</v>
      </c>
      <c r="P15" s="31" t="e">
        <f t="shared" si="0"/>
        <v>#REF!</v>
      </c>
      <c r="Q15" s="27"/>
    </row>
    <row r="16" spans="1:17" ht="49.5" customHeight="1" x14ac:dyDescent="0.3">
      <c r="A16" s="24" t="s">
        <v>132</v>
      </c>
      <c r="B16" s="25">
        <v>46357</v>
      </c>
      <c r="C16" s="25">
        <v>46366</v>
      </c>
      <c r="D16" s="26" t="s">
        <v>127</v>
      </c>
      <c r="E16" s="27" t="s">
        <v>133</v>
      </c>
      <c r="F16" s="28" t="s">
        <v>134</v>
      </c>
      <c r="G16" s="27" t="s">
        <v>135</v>
      </c>
      <c r="H16" s="39" t="s">
        <v>7</v>
      </c>
      <c r="I16" s="26" t="s">
        <v>36</v>
      </c>
      <c r="J16" s="27" t="s">
        <v>136</v>
      </c>
      <c r="K16" s="27" t="s">
        <v>137</v>
      </c>
      <c r="L16" s="27" t="s">
        <v>60</v>
      </c>
      <c r="M16" s="24" t="s">
        <v>1</v>
      </c>
      <c r="N16" s="30">
        <v>130</v>
      </c>
      <c r="O16" s="31" t="e">
        <f>INDEX(#REF!,MATCH(M16,#REF!,0))</f>
        <v>#REF!</v>
      </c>
      <c r="P16" s="31" t="e">
        <f t="shared" si="0"/>
        <v>#REF!</v>
      </c>
      <c r="Q16" s="27"/>
    </row>
    <row r="17" spans="1:17" ht="49.5" customHeight="1" x14ac:dyDescent="0.3">
      <c r="A17" s="20" t="s">
        <v>138</v>
      </c>
      <c r="B17" s="4">
        <v>46367</v>
      </c>
      <c r="C17" s="4">
        <v>46376</v>
      </c>
      <c r="D17" s="21" t="s">
        <v>127</v>
      </c>
      <c r="E17" s="5" t="s">
        <v>139</v>
      </c>
      <c r="F17" s="22" t="s">
        <v>140</v>
      </c>
      <c r="G17" s="5" t="s">
        <v>141</v>
      </c>
      <c r="H17" s="40" t="s">
        <v>9</v>
      </c>
      <c r="I17" s="21" t="s">
        <v>36</v>
      </c>
      <c r="J17" s="5" t="s">
        <v>142</v>
      </c>
      <c r="K17" s="5" t="s">
        <v>143</v>
      </c>
      <c r="L17" s="5" t="s">
        <v>144</v>
      </c>
      <c r="M17" s="20" t="s">
        <v>1</v>
      </c>
      <c r="N17" s="6">
        <v>140</v>
      </c>
      <c r="O17" s="7" t="e">
        <f>INDEX(#REF!,MATCH(M17,#REF!,0))</f>
        <v>#REF!</v>
      </c>
      <c r="P17" s="7" t="e">
        <f t="shared" si="0"/>
        <v>#REF!</v>
      </c>
      <c r="Q17" s="5"/>
    </row>
    <row r="18" spans="1:17" ht="49.5" customHeight="1" x14ac:dyDescent="0.3">
      <c r="A18" s="16" t="s">
        <v>145</v>
      </c>
      <c r="B18" s="8">
        <v>46377</v>
      </c>
      <c r="C18" s="8">
        <v>46381</v>
      </c>
      <c r="D18" s="17" t="s">
        <v>146</v>
      </c>
      <c r="E18" s="9" t="s">
        <v>147</v>
      </c>
      <c r="F18" s="18" t="s">
        <v>148</v>
      </c>
      <c r="G18" s="9" t="s">
        <v>149</v>
      </c>
      <c r="H18" s="36" t="s">
        <v>8</v>
      </c>
      <c r="I18" s="17" t="s">
        <v>36</v>
      </c>
      <c r="J18" s="9" t="s">
        <v>150</v>
      </c>
      <c r="K18" s="9" t="s">
        <v>151</v>
      </c>
      <c r="L18" s="9" t="s">
        <v>152</v>
      </c>
      <c r="M18" s="16" t="s">
        <v>1</v>
      </c>
      <c r="N18" s="10">
        <v>130</v>
      </c>
      <c r="O18" s="11" t="e">
        <f>INDEX(#REF!,MATCH(M18,#REF!,0))</f>
        <v>#REF!</v>
      </c>
      <c r="P18" s="11" t="e">
        <f t="shared" si="0"/>
        <v>#REF!</v>
      </c>
      <c r="Q18" s="9"/>
    </row>
    <row r="19" spans="1:17" ht="49.5" customHeight="1" x14ac:dyDescent="0.3">
      <c r="A19" s="16" t="s">
        <v>153</v>
      </c>
      <c r="B19" s="8">
        <v>46382</v>
      </c>
      <c r="C19" s="8">
        <v>46387</v>
      </c>
      <c r="D19" s="17" t="s">
        <v>146</v>
      </c>
      <c r="E19" s="9" t="s">
        <v>154</v>
      </c>
      <c r="F19" s="18" t="s">
        <v>18</v>
      </c>
      <c r="G19" s="9" t="s">
        <v>155</v>
      </c>
      <c r="H19" s="35" t="s">
        <v>2</v>
      </c>
      <c r="I19" s="17" t="s">
        <v>36</v>
      </c>
      <c r="J19" s="9" t="s">
        <v>156</v>
      </c>
      <c r="K19" s="9" t="s">
        <v>157</v>
      </c>
      <c r="L19" s="9" t="s">
        <v>158</v>
      </c>
      <c r="M19" s="16" t="s">
        <v>2</v>
      </c>
      <c r="N19" s="10">
        <v>170</v>
      </c>
      <c r="O19" s="11" t="e">
        <f>INDEX(#REF!,MATCH(M19,#REF!,0))</f>
        <v>#REF!</v>
      </c>
      <c r="P19" s="11" t="e">
        <f t="shared" si="0"/>
        <v>#REF!</v>
      </c>
      <c r="Q19" s="9" t="s">
        <v>159</v>
      </c>
    </row>
    <row r="20" spans="1:17" x14ac:dyDescent="0.3">
      <c r="A20" s="12" t="s">
        <v>10</v>
      </c>
      <c r="B20" s="13"/>
      <c r="C20" s="13"/>
      <c r="D20" s="13"/>
      <c r="E20" s="13"/>
      <c r="F20" s="13"/>
      <c r="G20" s="13"/>
      <c r="H20" s="13"/>
      <c r="I20" s="13"/>
      <c r="J20" s="13"/>
      <c r="K20" s="13"/>
      <c r="L20" s="13"/>
      <c r="M20" s="13"/>
      <c r="N20" s="14">
        <f>SUM(N2:N19)</f>
        <v>2000</v>
      </c>
      <c r="O20" s="41"/>
      <c r="P20" s="15" t="e">
        <f>SUM(P2:P19)</f>
        <v>#REF!</v>
      </c>
      <c r="Q20" s="4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zoomScaleNormal="100" workbookViewId="0">
      <pane ySplit="1" topLeftCell="A2" activePane="bottomLeft" state="frozen"/>
      <selection pane="bottomLeft" activeCell="E9" sqref="E9"/>
    </sheetView>
  </sheetViews>
  <sheetFormatPr defaultColWidth="8.6640625" defaultRowHeight="14.4" x14ac:dyDescent="0.3"/>
  <cols>
    <col min="1" max="1" width="9" customWidth="1"/>
    <col min="2" max="3" width="11" customWidth="1"/>
    <col min="4" max="4" width="20" customWidth="1"/>
    <col min="5" max="5" width="42" customWidth="1"/>
    <col min="6" max="6" width="14" customWidth="1"/>
    <col min="7" max="7" width="20" customWidth="1"/>
    <col min="8" max="8" width="14" customWidth="1"/>
    <col min="9" max="9" width="32" customWidth="1"/>
  </cols>
  <sheetData>
    <row r="1" spans="1:9" ht="26.4" x14ac:dyDescent="0.3">
      <c r="A1" s="42" t="s">
        <v>160</v>
      </c>
      <c r="B1" s="42" t="s">
        <v>12</v>
      </c>
      <c r="C1" s="42" t="s">
        <v>13</v>
      </c>
      <c r="D1" s="42" t="s">
        <v>161</v>
      </c>
      <c r="E1" s="42" t="s">
        <v>162</v>
      </c>
      <c r="F1" s="42" t="s">
        <v>163</v>
      </c>
      <c r="G1" s="42" t="s">
        <v>164</v>
      </c>
      <c r="H1" s="42" t="s">
        <v>165</v>
      </c>
      <c r="I1" s="42" t="s">
        <v>166</v>
      </c>
    </row>
    <row r="2" spans="1:9" ht="57.75" customHeight="1" x14ac:dyDescent="0.3">
      <c r="A2" s="43" t="s">
        <v>167</v>
      </c>
      <c r="B2" s="44">
        <v>46279</v>
      </c>
      <c r="C2" s="44">
        <v>46295</v>
      </c>
      <c r="D2" s="45" t="s">
        <v>168</v>
      </c>
      <c r="E2" s="2" t="s">
        <v>169</v>
      </c>
      <c r="F2" s="46" t="s">
        <v>170</v>
      </c>
      <c r="G2" s="2" t="s">
        <v>171</v>
      </c>
      <c r="H2" s="1" t="e">
        <f>#REF!</f>
        <v>#REF!</v>
      </c>
      <c r="I2" s="2" t="s">
        <v>172</v>
      </c>
    </row>
    <row r="3" spans="1:9" ht="57.75" customHeight="1" x14ac:dyDescent="0.3">
      <c r="A3" s="43" t="s">
        <v>173</v>
      </c>
      <c r="B3" s="44">
        <v>46296</v>
      </c>
      <c r="C3" s="44">
        <v>46315</v>
      </c>
      <c r="D3" s="45" t="s">
        <v>174</v>
      </c>
      <c r="E3" s="2" t="s">
        <v>175</v>
      </c>
      <c r="F3" s="46" t="s">
        <v>170</v>
      </c>
      <c r="G3" s="2" t="s">
        <v>171</v>
      </c>
      <c r="H3" s="1" t="e">
        <f>#REF!</f>
        <v>#REF!</v>
      </c>
      <c r="I3" s="2" t="s">
        <v>176</v>
      </c>
    </row>
    <row r="4" spans="1:9" ht="57.75" customHeight="1" x14ac:dyDescent="0.3">
      <c r="A4" s="43" t="s">
        <v>177</v>
      </c>
      <c r="B4" s="44">
        <v>46316</v>
      </c>
      <c r="C4" s="44">
        <v>46338</v>
      </c>
      <c r="D4" s="45" t="s">
        <v>178</v>
      </c>
      <c r="E4" s="2" t="s">
        <v>179</v>
      </c>
      <c r="F4" s="46" t="s">
        <v>170</v>
      </c>
      <c r="G4" s="2" t="s">
        <v>171</v>
      </c>
      <c r="H4" s="1" t="e">
        <f>#REF!</f>
        <v>#REF!</v>
      </c>
      <c r="I4" s="2" t="s">
        <v>180</v>
      </c>
    </row>
    <row r="5" spans="1:9" ht="57.75" customHeight="1" x14ac:dyDescent="0.3">
      <c r="A5" s="43" t="s">
        <v>181</v>
      </c>
      <c r="B5" s="44">
        <v>46339</v>
      </c>
      <c r="C5" s="44">
        <v>46376</v>
      </c>
      <c r="D5" s="45" t="s">
        <v>182</v>
      </c>
      <c r="E5" s="2" t="s">
        <v>183</v>
      </c>
      <c r="F5" s="46" t="s">
        <v>170</v>
      </c>
      <c r="G5" s="2" t="s">
        <v>184</v>
      </c>
      <c r="H5" s="1" t="e">
        <f>#REF!</f>
        <v>#REF!</v>
      </c>
      <c r="I5" s="2" t="s">
        <v>185</v>
      </c>
    </row>
    <row r="6" spans="1:9" ht="57.75" customHeight="1" x14ac:dyDescent="0.3">
      <c r="A6" s="43" t="s">
        <v>186</v>
      </c>
      <c r="B6" s="44">
        <v>46377</v>
      </c>
      <c r="C6" s="44">
        <v>46387</v>
      </c>
      <c r="D6" s="45" t="s">
        <v>187</v>
      </c>
      <c r="E6" s="2" t="s">
        <v>188</v>
      </c>
      <c r="F6" s="46" t="s">
        <v>170</v>
      </c>
      <c r="G6" s="2" t="s">
        <v>171</v>
      </c>
      <c r="H6" s="1" t="e">
        <f>#REF!</f>
        <v>#REF!</v>
      </c>
      <c r="I6" s="2" t="s">
        <v>189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Meta_Calendar</vt:lpstr>
      <vt:lpstr>Google_Calendar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Diwakar Jha</cp:lastModifiedBy>
  <cp:revision>0</cp:revision>
  <dcterms:created xsi:type="dcterms:W3CDTF">2026-09-09T12:05:13Z</dcterms:created>
  <dcterms:modified xsi:type="dcterms:W3CDTF">2026-09-09T13:10:22Z</dcterms:modified>
  <dc:language>en-US</dc:language>
</cp:coreProperties>
</file>